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-PC\Desktop\JOB MINGLE\"/>
    </mc:Choice>
  </mc:AlternateContent>
  <xr:revisionPtr revIDLastSave="0" documentId="13_ncr:1_{70084813-357C-437A-84A9-D6AED5CA6F94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Data Dictionary" sheetId="1" r:id="rId1"/>
    <sheet name="Employee Data" sheetId="2" r:id="rId2"/>
    <sheet name="Cleaned Data" sheetId="6" r:id="rId3"/>
    <sheet name="Analysis Sheet" sheetId="7" r:id="rId4"/>
    <sheet name="Grade Bands" sheetId="3" r:id="rId5"/>
    <sheet name="Departments" sheetId="4" r:id="rId6"/>
  </sheets>
  <definedNames>
    <definedName name="ExternalData_1" localSheetId="2" hidden="1">'Cleaned Data'!$A$1:$U$181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C16" i="7"/>
  <c r="C17" i="7"/>
  <c r="C18" i="7"/>
  <c r="C19" i="7"/>
  <c r="C20" i="7"/>
  <c r="C21" i="7"/>
  <c r="C22" i="7"/>
  <c r="B16" i="7"/>
  <c r="B17" i="7"/>
  <c r="B18" i="7"/>
  <c r="B19" i="7"/>
  <c r="B20" i="7"/>
  <c r="B21" i="7"/>
  <c r="B22" i="7"/>
  <c r="B15" i="7"/>
  <c r="C15" i="7"/>
  <c r="A11" i="7"/>
  <c r="A8" i="7"/>
  <c r="A5" i="7"/>
  <c r="A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E7496-5572-45DA-A8C4-D527E28A3FA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<sst xmlns="http://schemas.openxmlformats.org/spreadsheetml/2006/main" count="2699" uniqueCount="380">
  <si>
    <t>GreenLeaf Foods Nigeria Ltd — HR Dataset</t>
  </si>
  <si>
    <t>Data Analysis with Microsoft Excel · Capstone Dataset · Cemr Scripts</t>
  </si>
  <si>
    <t>Column</t>
  </si>
  <si>
    <t>Description</t>
  </si>
  <si>
    <t>EmployeeID</t>
  </si>
  <si>
    <t>Unique staff identifier. NOTE: the raw sheet contains a few duplicate rows to be removed.</t>
  </si>
  <si>
    <t>First Name / Last Name</t>
  </si>
  <si>
    <t>Employee name. Some last names carry trailing spaces (clean with TRIM).</t>
  </si>
  <si>
    <t>Gender</t>
  </si>
  <si>
    <t>Should be Male/Female. Some rows use 'M'/'F' and must be standardised.</t>
  </si>
  <si>
    <t>Department</t>
  </si>
  <si>
    <t>One of 8 departments. Casing/spacing is inconsistent on some rows (clean with TRIM/PROPER).</t>
  </si>
  <si>
    <t>Job Role</t>
  </si>
  <si>
    <t>Role title; maps to a Grade in the 'Grade Bands' sheet.</t>
  </si>
  <si>
    <t>Location</t>
  </si>
  <si>
    <t>Office/branch city.</t>
  </si>
  <si>
    <t>Hire Date</t>
  </si>
  <si>
    <t>Date the employee joined.</t>
  </si>
  <si>
    <t>Exit Date</t>
  </si>
  <si>
    <t>Date the employee left. BLANK means the employee is still active.</t>
  </si>
  <si>
    <t>Monthly Salary (NGN)</t>
  </si>
  <si>
    <t>Gross monthly pay in Naira.</t>
  </si>
  <si>
    <t>Performance Rating</t>
  </si>
  <si>
    <t>Latest appraisal score, 1 (low) to 5 (high). A few are blank.</t>
  </si>
  <si>
    <t>Date of Birth</t>
  </si>
  <si>
    <t>Used to derive employee age.</t>
  </si>
  <si>
    <t>First Name</t>
  </si>
  <si>
    <t>Last Name</t>
  </si>
  <si>
    <t>Uche</t>
  </si>
  <si>
    <t>Suleiman</t>
  </si>
  <si>
    <t>M</t>
  </si>
  <si>
    <t>it</t>
  </si>
  <si>
    <t>IT Support</t>
  </si>
  <si>
    <t>Lagos</t>
  </si>
  <si>
    <t>Ronke</t>
  </si>
  <si>
    <t xml:space="preserve">Okafor </t>
  </si>
  <si>
    <t>Female</t>
  </si>
  <si>
    <t>Operations</t>
  </si>
  <si>
    <t>Operations Officer</t>
  </si>
  <si>
    <t>Ibadan</t>
  </si>
  <si>
    <t>Sadiq</t>
  </si>
  <si>
    <t>Olawale</t>
  </si>
  <si>
    <t>Male</t>
  </si>
  <si>
    <t>Operations Analyst</t>
  </si>
  <si>
    <t>Kano</t>
  </si>
  <si>
    <t>Bode</t>
  </si>
  <si>
    <t>Oladele</t>
  </si>
  <si>
    <t>Human Resources</t>
  </si>
  <si>
    <t>Recruiter</t>
  </si>
  <si>
    <t>Damilola</t>
  </si>
  <si>
    <t>Okoro</t>
  </si>
  <si>
    <t>Customer Service</t>
  </si>
  <si>
    <t>Support Agent</t>
  </si>
  <si>
    <t>Precious</t>
  </si>
  <si>
    <t>F</t>
  </si>
  <si>
    <t>Segun</t>
  </si>
  <si>
    <t>Marketing</t>
  </si>
  <si>
    <t>Content Strategist</t>
  </si>
  <si>
    <t>Tunde</t>
  </si>
  <si>
    <t>Aliyu</t>
  </si>
  <si>
    <t>Nwachukwu</t>
  </si>
  <si>
    <t>Team Lead</t>
  </si>
  <si>
    <t>Port Harcourt</t>
  </si>
  <si>
    <t>Obi</t>
  </si>
  <si>
    <t>Efe</t>
  </si>
  <si>
    <t>Finance</t>
  </si>
  <si>
    <t>Accounts Officer</t>
  </si>
  <si>
    <t>Adeleke</t>
  </si>
  <si>
    <t>Logistics</t>
  </si>
  <si>
    <t>Dispatch Officer</t>
  </si>
  <si>
    <t>Ibrahim</t>
  </si>
  <si>
    <t xml:space="preserve">Suleiman </t>
  </si>
  <si>
    <t>HR Manager</t>
  </si>
  <si>
    <t>Maryam</t>
  </si>
  <si>
    <t>Fatima</t>
  </si>
  <si>
    <t>MARKETING</t>
  </si>
  <si>
    <t>Amaka</t>
  </si>
  <si>
    <t>Bello</t>
  </si>
  <si>
    <t>Folake</t>
  </si>
  <si>
    <t>IT</t>
  </si>
  <si>
    <t>Software Developer</t>
  </si>
  <si>
    <t>Damola</t>
  </si>
  <si>
    <t>Okafor</t>
  </si>
  <si>
    <t>Ella</t>
  </si>
  <si>
    <t>Accountant</t>
  </si>
  <si>
    <t>Fleet Coordinator</t>
  </si>
  <si>
    <t>Kunle</t>
  </si>
  <si>
    <t>Nwosu</t>
  </si>
  <si>
    <t>Sales</t>
  </si>
  <si>
    <t>Sales Executive</t>
  </si>
  <si>
    <t>Nonso</t>
  </si>
  <si>
    <t>Mohammed</t>
  </si>
  <si>
    <t>Musa</t>
  </si>
  <si>
    <t>Adeyemi</t>
  </si>
  <si>
    <t xml:space="preserve"> Customer Service</t>
  </si>
  <si>
    <t>Chibuike</t>
  </si>
  <si>
    <t>Sales Manager</t>
  </si>
  <si>
    <t>Bukola</t>
  </si>
  <si>
    <t>Anyanwu</t>
  </si>
  <si>
    <t>Femi</t>
  </si>
  <si>
    <t>Abubakar</t>
  </si>
  <si>
    <t>HR Officer</t>
  </si>
  <si>
    <t>Ifeoma</t>
  </si>
  <si>
    <t>Blessing</t>
  </si>
  <si>
    <t>Adebayo</t>
  </si>
  <si>
    <t>Logistics Analyst</t>
  </si>
  <si>
    <t>Systems Analyst</t>
  </si>
  <si>
    <t>Gbenga</t>
  </si>
  <si>
    <t>Akinyemi</t>
  </si>
  <si>
    <t>Emeka</t>
  </si>
  <si>
    <t>Chidi</t>
  </si>
  <si>
    <t>Taiwo</t>
  </si>
  <si>
    <t>Finance Manager</t>
  </si>
  <si>
    <t>Abuja</t>
  </si>
  <si>
    <t>Hauwa</t>
  </si>
  <si>
    <t>Rotimi</t>
  </si>
  <si>
    <t>Chiamaka</t>
  </si>
  <si>
    <t>Halima</t>
  </si>
  <si>
    <t>Ojo</t>
  </si>
  <si>
    <t>Nnamdi</t>
  </si>
  <si>
    <t>Marketing Officer</t>
  </si>
  <si>
    <t>Kemi</t>
  </si>
  <si>
    <t>Onyeka</t>
  </si>
  <si>
    <t>Uchechi</t>
  </si>
  <si>
    <t>Ekwueme</t>
  </si>
  <si>
    <t xml:space="preserve">Human Resources </t>
  </si>
  <si>
    <t>HR Business Partner</t>
  </si>
  <si>
    <t>Afolabi</t>
  </si>
  <si>
    <t>Chinedu</t>
  </si>
  <si>
    <t xml:space="preserve">Aliyu </t>
  </si>
  <si>
    <t>Logistics Manager</t>
  </si>
  <si>
    <t>Ngozi</t>
  </si>
  <si>
    <t>Danjuma</t>
  </si>
  <si>
    <t>IT Manager</t>
  </si>
  <si>
    <t xml:space="preserve">Sales </t>
  </si>
  <si>
    <t>Ifeanyi</t>
  </si>
  <si>
    <t>Chukwu</t>
  </si>
  <si>
    <t>Ikenna</t>
  </si>
  <si>
    <t>Obinna</t>
  </si>
  <si>
    <t>Okonkwo</t>
  </si>
  <si>
    <t>Sade</t>
  </si>
  <si>
    <t>Funke</t>
  </si>
  <si>
    <t>Balogun</t>
  </si>
  <si>
    <t>Brand Executive</t>
  </si>
  <si>
    <t>Adaeze</t>
  </si>
  <si>
    <t>Marketing Manager</t>
  </si>
  <si>
    <t>Olumide</t>
  </si>
  <si>
    <t>Yusuf</t>
  </si>
  <si>
    <t>Ada</t>
  </si>
  <si>
    <t>Eze</t>
  </si>
  <si>
    <t>Senior Sales Exec</t>
  </si>
  <si>
    <t xml:space="preserve">Logistics </t>
  </si>
  <si>
    <t>Omolara</t>
  </si>
  <si>
    <t>CS Manager</t>
  </si>
  <si>
    <t>Bashir</t>
  </si>
  <si>
    <t xml:space="preserve">Abubakar </t>
  </si>
  <si>
    <t>Uzoma</t>
  </si>
  <si>
    <t xml:space="preserve"> Sales</t>
  </si>
  <si>
    <t>Kelechi</t>
  </si>
  <si>
    <t>Finance Analyst</t>
  </si>
  <si>
    <t>Lawal</t>
  </si>
  <si>
    <t>Wale</t>
  </si>
  <si>
    <t>Ogunleye</t>
  </si>
  <si>
    <t>Nkechi</t>
  </si>
  <si>
    <t>logistics</t>
  </si>
  <si>
    <t>Aisha</t>
  </si>
  <si>
    <t xml:space="preserve">Oladele </t>
  </si>
  <si>
    <t>Zainab</t>
  </si>
  <si>
    <t xml:space="preserve">Finance </t>
  </si>
  <si>
    <t>Operations Lead</t>
  </si>
  <si>
    <t>Yetunde</t>
  </si>
  <si>
    <t xml:space="preserve">Danjuma </t>
  </si>
  <si>
    <t xml:space="preserve">Nwachukwu </t>
  </si>
  <si>
    <t xml:space="preserve"> Operations</t>
  </si>
  <si>
    <t xml:space="preserve">Ekwueme </t>
  </si>
  <si>
    <t>Adewale</t>
  </si>
  <si>
    <t>Grace</t>
  </si>
  <si>
    <t>Grade</t>
  </si>
  <si>
    <t>Band Min (NGN)</t>
  </si>
  <si>
    <t>Band Max (NGN)</t>
  </si>
  <si>
    <t>Officer</t>
  </si>
  <si>
    <t>Lead/Manager</t>
  </si>
  <si>
    <t>Senior</t>
  </si>
  <si>
    <t>Operations Manager</t>
  </si>
  <si>
    <t>Department Head</t>
  </si>
  <si>
    <t>HQ Location</t>
  </si>
  <si>
    <t>Annual Budget (NGN)</t>
  </si>
  <si>
    <t>Temitope Anyanwu</t>
  </si>
  <si>
    <t>Ronke Mohammed</t>
  </si>
  <si>
    <t>Chinedu Nwachukwu</t>
  </si>
  <si>
    <t>Ahmed Balogun</t>
  </si>
  <si>
    <t>Musa Balogun</t>
  </si>
  <si>
    <t>Ahmed Adebayo</t>
  </si>
  <si>
    <t>Chiamaka Adeleke</t>
  </si>
  <si>
    <t>Omolara Akinyemi</t>
  </si>
  <si>
    <t>Full Name</t>
  </si>
  <si>
    <t>Employment Status</t>
  </si>
  <si>
    <t>Age</t>
  </si>
  <si>
    <t>Tenure in Years</t>
  </si>
  <si>
    <t>Annual Salary</t>
  </si>
  <si>
    <t>Uche Suleiman</t>
  </si>
  <si>
    <t>Active</t>
  </si>
  <si>
    <t xml:space="preserve">Ronke Okafor </t>
  </si>
  <si>
    <t>Sadiq Olawale</t>
  </si>
  <si>
    <t>Bode Oladele</t>
  </si>
  <si>
    <t>Damilola Okoro</t>
  </si>
  <si>
    <t>Exited</t>
  </si>
  <si>
    <t>Precious Oladele</t>
  </si>
  <si>
    <t>Segun Okoro</t>
  </si>
  <si>
    <t>Tunde Aliyu</t>
  </si>
  <si>
    <t>Damilola Nwachukwu</t>
  </si>
  <si>
    <t>Tunde Obi</t>
  </si>
  <si>
    <t>Efe Oladele</t>
  </si>
  <si>
    <t>Ronke Adeleke</t>
  </si>
  <si>
    <t xml:space="preserve">Ibrahim Suleiman </t>
  </si>
  <si>
    <t>Maryam Okoro</t>
  </si>
  <si>
    <t>Fatima Oladele</t>
  </si>
  <si>
    <t>Amaka Bello</t>
  </si>
  <si>
    <t>Folake Okoro</t>
  </si>
  <si>
    <t>Damola Okafor</t>
  </si>
  <si>
    <t>Ella Aliyu</t>
  </si>
  <si>
    <t>Damilola Aliyu</t>
  </si>
  <si>
    <t>Kunle Nwosu</t>
  </si>
  <si>
    <t>Nonso Mohammed</t>
  </si>
  <si>
    <t>Musa Adeyemi</t>
  </si>
  <si>
    <t>Chibuike Mohammed</t>
  </si>
  <si>
    <t>Bukola Anyanwu</t>
  </si>
  <si>
    <t>Femi Abubakar</t>
  </si>
  <si>
    <t>Bukola Nwosu</t>
  </si>
  <si>
    <t>Ifeoma Olawale</t>
  </si>
  <si>
    <t>Blessing Adebayo</t>
  </si>
  <si>
    <t>Ella Nwosu</t>
  </si>
  <si>
    <t>Gbenga Akinyemi</t>
  </si>
  <si>
    <t>Emeka Adebayo</t>
  </si>
  <si>
    <t>Ella Adeleke</t>
  </si>
  <si>
    <t>Chidi Okafor</t>
  </si>
  <si>
    <t>Chibuike Okafor</t>
  </si>
  <si>
    <t>Taiwo Abubakar</t>
  </si>
  <si>
    <t>Blessing Suleiman</t>
  </si>
  <si>
    <t>Hauwa Anyanwu</t>
  </si>
  <si>
    <t>Rotimi Olawale</t>
  </si>
  <si>
    <t>Chiamaka Adebayo</t>
  </si>
  <si>
    <t>Halima Olawale</t>
  </si>
  <si>
    <t>Kunle Ojo</t>
  </si>
  <si>
    <t>Nnamdi Adeyemi</t>
  </si>
  <si>
    <t>Efe Adeyemi</t>
  </si>
  <si>
    <t>Kemi Nwosu</t>
  </si>
  <si>
    <t>Taiwo Bello</t>
  </si>
  <si>
    <t>Chibuike Ibrahim</t>
  </si>
  <si>
    <t>Rotimi Suleiman</t>
  </si>
  <si>
    <t>Nonso Onyeka</t>
  </si>
  <si>
    <t>Gbenga Adeyemi</t>
  </si>
  <si>
    <t>Segun Suleiman</t>
  </si>
  <si>
    <t>Uchechi Ekwueme</t>
  </si>
  <si>
    <t>Damilola Mohammed</t>
  </si>
  <si>
    <t>Rotimi Afolabi</t>
  </si>
  <si>
    <t>Ronke Ibrahim</t>
  </si>
  <si>
    <t>Ella Suleiman</t>
  </si>
  <si>
    <t>Musa Mohammed</t>
  </si>
  <si>
    <t>Nonso Adeleke</t>
  </si>
  <si>
    <t xml:space="preserve">Chinedu Aliyu </t>
  </si>
  <si>
    <t>Ngozi Danjuma</t>
  </si>
  <si>
    <t>Segun Oladele</t>
  </si>
  <si>
    <t>Bukola Adeyemi</t>
  </si>
  <si>
    <t>Damola Adeleke</t>
  </si>
  <si>
    <t>Ifeanyi Adeleke</t>
  </si>
  <si>
    <t>Kunle Chukwu</t>
  </si>
  <si>
    <t>Ikenna Ibrahim</t>
  </si>
  <si>
    <t>Musa Suleiman</t>
  </si>
  <si>
    <t>Obinna Okonkwo</t>
  </si>
  <si>
    <t>Sade Adeyemi</t>
  </si>
  <si>
    <t>Funke Suleiman</t>
  </si>
  <si>
    <t>Folake Balogun</t>
  </si>
  <si>
    <t>Adaeze Akinyemi</t>
  </si>
  <si>
    <t>Amaka Nwosu</t>
  </si>
  <si>
    <t>Folake Nwachukwu</t>
  </si>
  <si>
    <t>Maryam Ekwueme</t>
  </si>
  <si>
    <t>Olumide Oladele</t>
  </si>
  <si>
    <t>Rotimi Ojo</t>
  </si>
  <si>
    <t>Olumide Akinyemi</t>
  </si>
  <si>
    <t>Yusuf Onyeka</t>
  </si>
  <si>
    <t>Tunde Ojo</t>
  </si>
  <si>
    <t>Taiwo Oladele</t>
  </si>
  <si>
    <t>Sadiq Obi</t>
  </si>
  <si>
    <t>Blessing Nwosu</t>
  </si>
  <si>
    <t>Ada Eze</t>
  </si>
  <si>
    <t>Emeka Adeleke</t>
  </si>
  <si>
    <t>Folake Chukwu</t>
  </si>
  <si>
    <t>Chinedu Onyeka</t>
  </si>
  <si>
    <t>Ifeoma Obi</t>
  </si>
  <si>
    <t>Taiwo Ojo</t>
  </si>
  <si>
    <t>Olumide Mohammed</t>
  </si>
  <si>
    <t>Folake Adebayo</t>
  </si>
  <si>
    <t>Adaeze Ibrahim</t>
  </si>
  <si>
    <t>Omolara Adeleke</t>
  </si>
  <si>
    <t>Chibuike Adeleke</t>
  </si>
  <si>
    <t>Blessing Okonkwo</t>
  </si>
  <si>
    <t>Chiamaka Nwachukwu</t>
  </si>
  <si>
    <t>Bashir Okoro</t>
  </si>
  <si>
    <t xml:space="preserve">Nonso Abubakar </t>
  </si>
  <si>
    <t>Emeka Okoro</t>
  </si>
  <si>
    <t>Ikenna Uzoma</t>
  </si>
  <si>
    <t>Kelechi Oladele</t>
  </si>
  <si>
    <t>Amaka Obi</t>
  </si>
  <si>
    <t>Kunle Olawale</t>
  </si>
  <si>
    <t>Rotimi Bello</t>
  </si>
  <si>
    <t>Bode Eze</t>
  </si>
  <si>
    <t>Chiamaka Okonkwo</t>
  </si>
  <si>
    <t>Bashir Akinyemi</t>
  </si>
  <si>
    <t>Bukola Ibrahim</t>
  </si>
  <si>
    <t>Rotimi Onyeka</t>
  </si>
  <si>
    <t>Emeka Lawal</t>
  </si>
  <si>
    <t>Wale Ogunleye</t>
  </si>
  <si>
    <t>Damilola Balogun</t>
  </si>
  <si>
    <t>Ella Ojo</t>
  </si>
  <si>
    <t>Bukola Danjuma</t>
  </si>
  <si>
    <t>Segun Nwachukwu</t>
  </si>
  <si>
    <t>Precious Afolabi</t>
  </si>
  <si>
    <t>Gbenga Okoro</t>
  </si>
  <si>
    <t>Chiamaka Mohammed</t>
  </si>
  <si>
    <t>Ronke Suleiman</t>
  </si>
  <si>
    <t>Nkechi Eze</t>
  </si>
  <si>
    <t>Amaka Onyeka</t>
  </si>
  <si>
    <t>Ifeoma Okoro</t>
  </si>
  <si>
    <t>Chibuike Uzoma</t>
  </si>
  <si>
    <t>Yusuf Ogunleye</t>
  </si>
  <si>
    <t>Bashir Bello</t>
  </si>
  <si>
    <t>Chibuike Onyeka</t>
  </si>
  <si>
    <t>Chibuike Adebayo</t>
  </si>
  <si>
    <t xml:space="preserve">Aisha Oladele </t>
  </si>
  <si>
    <t>Omolara Danjuma</t>
  </si>
  <si>
    <t>Amaka Danjuma</t>
  </si>
  <si>
    <t>Maryam Ogunleye</t>
  </si>
  <si>
    <t>Femi Lawal</t>
  </si>
  <si>
    <t>Zainab Ojo</t>
  </si>
  <si>
    <t>Bashir Onyeka</t>
  </si>
  <si>
    <t>Aisha Afolabi</t>
  </si>
  <si>
    <t>Bukola Uzoma</t>
  </si>
  <si>
    <t>Uche Eze</t>
  </si>
  <si>
    <t>Emeka Okafor</t>
  </si>
  <si>
    <t>Nnamdi Balogun</t>
  </si>
  <si>
    <t>Bode Ekwueme</t>
  </si>
  <si>
    <t>Amaka Ekwueme</t>
  </si>
  <si>
    <t>Chidi Okoro</t>
  </si>
  <si>
    <t>Chibuike Akinyemi</t>
  </si>
  <si>
    <t>Aisha Ekwueme</t>
  </si>
  <si>
    <t>Gbenga Anyanwu</t>
  </si>
  <si>
    <t>Yetunde Nwachukwu</t>
  </si>
  <si>
    <t>Olumide Chukwu</t>
  </si>
  <si>
    <t>Hauwa Aliyu</t>
  </si>
  <si>
    <t xml:space="preserve">Bashir Danjuma </t>
  </si>
  <si>
    <t>Sadiq Okafor</t>
  </si>
  <si>
    <t>Aisha Olawale</t>
  </si>
  <si>
    <t>Chinedu Adebayo</t>
  </si>
  <si>
    <t>Sadiq Akinyemi</t>
  </si>
  <si>
    <t>Ronke Oladele</t>
  </si>
  <si>
    <t>Emeka Aliyu</t>
  </si>
  <si>
    <t>Segun Bello</t>
  </si>
  <si>
    <t xml:space="preserve">Bashir Nwachukwu </t>
  </si>
  <si>
    <t>Bukola Okoro</t>
  </si>
  <si>
    <t>Chidi Anyanwu</t>
  </si>
  <si>
    <t>Sadiq Suleiman</t>
  </si>
  <si>
    <t xml:space="preserve">Chibuike Ekwueme </t>
  </si>
  <si>
    <t>Yusuf Okoro</t>
  </si>
  <si>
    <t>Olumide Obi</t>
  </si>
  <si>
    <t>Yusuf Lawal</t>
  </si>
  <si>
    <t>Efe Suleiman</t>
  </si>
  <si>
    <t>Ella Onyeka</t>
  </si>
  <si>
    <t>Adewale Onyeka</t>
  </si>
  <si>
    <t>Grace Ekwueme</t>
  </si>
  <si>
    <t>Chiamaka Balogun</t>
  </si>
  <si>
    <t>Total headcount of active employees</t>
  </si>
  <si>
    <t>Overall attrition rate</t>
  </si>
  <si>
    <t>Total monthly payroll</t>
  </si>
  <si>
    <t>Average monthly salary for active staff</t>
  </si>
  <si>
    <t>Headcount split by Department and by Gender</t>
  </si>
  <si>
    <t>Band Min</t>
  </si>
  <si>
    <t>Band Max</t>
  </si>
  <si>
    <t>Salary Band Status</t>
  </si>
  <si>
    <t>Employee's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</si>
</sst>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4"/>
      <color rgb="FF1F4E33"/>
      <name val="Arial"/>
      <family val="2"/>
    </font>
    <font>
      <i/>
      <sz val="10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3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9" fontId="0" fillId="0" borderId="0" xfId="2" applyFont="1"/>
    <xf numFmtId="43" fontId="0" fillId="0" borderId="0" xfId="1" applyFon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3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FEDAF8-168C-4032-9C72-2509EFDD149A}" autoFormatId="16" applyNumberFormats="0" applyBorderFormats="0" applyFontFormats="0" applyPatternFormats="0" applyAlignmentFormats="0" applyWidthHeightFormats="0">
  <queryTableRefresh nextId="22">
    <queryTableFields count="21">
      <queryTableField id="1" name="Employee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Job Role" tableColumnId="6"/>
      <queryTableField id="7" name="Location" tableColumnId="7"/>
      <queryTableField id="8" name="Monthly Salary (NGN)" tableColumnId="8"/>
      <queryTableField id="21" dataBound="0" tableColumnId="21"/>
      <queryTableField id="20" dataBound="0" tableColumnId="20"/>
      <queryTableField id="19" dataBound="0" tableColumnId="19"/>
      <queryTableField id="18" dataBound="0" tableColumnId="18"/>
      <queryTableField id="9" name="Performance Rating" tableColumnId="9"/>
      <queryTableField id="10" name="Date of Birth" tableColumnId="10"/>
      <queryTableField id="11" name="Full Name" tableColumnId="11"/>
      <queryTableField id="12" name="Employment Status" tableColumnId="12"/>
      <queryTableField id="13" name="Age" tableColumnId="13"/>
      <queryTableField id="14" name="Tenure in Years" tableColumnId="14"/>
      <queryTableField id="15" name="Annual Salary" tableColumnId="15"/>
      <queryTableField id="16" name="Hire Date" tableColumnId="16"/>
      <queryTableField id="17" name="Exit 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F7A6D2-0093-437C-AFFF-228BB375E0C8}" name="Table1_1" displayName="Table1_1" ref="A1:U181" tableType="queryTable" totalsRowShown="0">
  <autoFilter ref="A1:U181" xr:uid="{19F7A6D2-0093-437C-AFFF-228BB375E0C8}"/>
  <tableColumns count="21">
    <tableColumn id="1" xr3:uid="{B24F7070-AA20-4673-ADA5-84E53A2038DD}" uniqueName="1" name="EmployeeID" queryTableFieldId="1"/>
    <tableColumn id="2" xr3:uid="{077B622C-4520-4050-A348-592C6D7FE262}" uniqueName="2" name="First Name" queryTableFieldId="2" dataDxfId="21"/>
    <tableColumn id="3" xr3:uid="{4BD4E75C-1D9B-486F-8150-6BA639537645}" uniqueName="3" name="Last Name" queryTableFieldId="3" dataDxfId="20"/>
    <tableColumn id="4" xr3:uid="{B22B19E3-9319-462C-9A3D-6B0AC326492E}" uniqueName="4" name="Gender" queryTableFieldId="4" dataDxfId="19"/>
    <tableColumn id="5" xr3:uid="{B1FC18B0-B7D6-4A73-9251-F9706DB46ECB}" uniqueName="5" name="Department" queryTableFieldId="5" dataDxfId="18"/>
    <tableColumn id="6" xr3:uid="{436BBAF0-DF75-443C-BF96-9FCC53BF39AD}" uniqueName="6" name="Job Role" queryTableFieldId="6" dataDxfId="17"/>
    <tableColumn id="7" xr3:uid="{FFAE30D1-C581-4338-A91A-6CA9F2E7BF01}" uniqueName="7" name="Location" queryTableFieldId="7" dataDxfId="16"/>
    <tableColumn id="8" xr3:uid="{56C839A3-53A9-4C3B-BD2B-07F6F6F3FE2A}" uniqueName="8" name="Monthly Salary (NGN)" queryTableFieldId="8"/>
    <tableColumn id="21" xr3:uid="{39A97018-65DA-44CC-8014-B4747A2F73D5}" uniqueName="21" name="Employee's Grade" queryTableFieldId="21" dataDxfId="3">
      <calculatedColumnFormula>_xlfn.XLOOKUP(F2,'Grade Bands'!$A$2:$A$31,'Grade Bands'!$B$2:$B$31,"Not Found")</calculatedColumnFormula>
    </tableColumn>
    <tableColumn id="20" xr3:uid="{831BF1C4-B1EC-470A-BBA3-CE71FC6C9091}" uniqueName="20" name="Band Min" queryTableFieldId="20" dataDxfId="2">
      <calculatedColumnFormula>_xlfn.XLOOKUP(F2,'Grade Bands'!$A$2:$A$31,'Grade Bands'!$C$2:$C$31,"Not Found")</calculatedColumnFormula>
    </tableColumn>
    <tableColumn id="19" xr3:uid="{AB9407B4-2FE6-45C0-A884-B0F7FA2DAE72}" uniqueName="19" name="Band Max" queryTableFieldId="19" dataDxfId="1">
      <calculatedColumnFormula>_xlfn.XLOOKUP(F2,'Grade Bands'!$A$2:$A$31,'Grade Bands'!$D$2:$D$31,"Not Found")</calculatedColumnFormula>
    </tableColumn>
    <tableColumn id="18" xr3:uid="{B03949EC-B3D1-4E86-B72D-D4B8118F6E31}" uniqueName="18" name="Salary Band Status" queryTableFieldId="18" dataDxfId="0">
      <calculatedColumnFormula>IF(AND(H2&gt;=J2,H2&lt;=K2),"Within Band","Outside Band")</calculatedColumnFormula>
    </tableColumn>
    <tableColumn id="9" xr3:uid="{258F6D50-143D-4DE8-A63D-3A3F2455F353}" uniqueName="9" name="Performance Rating" queryTableFieldId="9"/>
    <tableColumn id="10" xr3:uid="{BB5AA1FF-DEF6-4A71-A08C-17691BA54482}" uniqueName="10" name="Date of Birth" queryTableFieldId="10" dataDxfId="15"/>
    <tableColumn id="11" xr3:uid="{BBB5D144-17A2-4BF7-A2FC-3DA07010CB5B}" uniqueName="11" name="Full Name" queryTableFieldId="11" dataDxfId="14"/>
    <tableColumn id="12" xr3:uid="{F525EDD2-62A6-46C9-BC0A-A1E7E5BCA512}" uniqueName="12" name="Employment Status" queryTableFieldId="12" dataDxfId="13"/>
    <tableColumn id="13" xr3:uid="{401C5D69-0F13-492E-B752-A5E94F6CC914}" uniqueName="13" name="Age" queryTableFieldId="13"/>
    <tableColumn id="14" xr3:uid="{0B0C4717-B47B-460D-ADF5-761B93E5B2F5}" uniqueName="14" name="Tenure in Years" queryTableFieldId="14"/>
    <tableColumn id="15" xr3:uid="{B3EA7042-A034-41AB-A22C-25F81A61FDF6}" uniqueName="15" name="Annual Salary" queryTableFieldId="15"/>
    <tableColumn id="16" xr3:uid="{EFDF9A99-E63F-4C6E-94D4-CCEF7E13F01E}" uniqueName="16" name="Hire Date" queryTableFieldId="16" dataDxfId="12"/>
    <tableColumn id="17" xr3:uid="{EF203034-8F37-46B4-93CC-2C7E2CE19F1B}" uniqueName="17" name="Exit Date" queryTableFieldId="17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1EA331-7AE4-401C-BA97-A8DE15661547}" name="Table3" displayName="Table3" ref="A1:D31" totalsRowShown="0" headerRowDxfId="10" headerRowBorderDxfId="9" tableBorderDxfId="8">
  <autoFilter ref="A1:D31" xr:uid="{5A1EA331-7AE4-401C-BA97-A8DE15661547}"/>
  <tableColumns count="4">
    <tableColumn id="1" xr3:uid="{C7F0A558-7D93-4C0D-BBA5-472244B6F9C5}" name="Job Role" dataDxfId="7"/>
    <tableColumn id="2" xr3:uid="{9813C4F6-06D8-44E1-9D59-3BF03D95E108}" name="Grade" dataDxfId="6"/>
    <tableColumn id="3" xr3:uid="{AE2DA6F4-BD9F-492E-AF09-3A59B157B9AE}" name="Band Min (NGN)" dataDxfId="5"/>
    <tableColumn id="4" xr3:uid="{9CC055DD-5C7A-4F5E-8DD9-B971C2716F63}" name="Band Max (NGN)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5" x14ac:dyDescent="0.35"/>
  <cols>
    <col min="1" max="1" width="26" customWidth="1"/>
    <col min="2" max="2" width="9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4" t="s">
        <v>5</v>
      </c>
    </row>
    <row r="6" spans="1:2" x14ac:dyDescent="0.35">
      <c r="A6" s="4" t="s">
        <v>6</v>
      </c>
      <c r="B6" s="4" t="s">
        <v>7</v>
      </c>
    </row>
    <row r="7" spans="1:2" x14ac:dyDescent="0.35">
      <c r="A7" s="4" t="s">
        <v>8</v>
      </c>
      <c r="B7" s="4" t="s">
        <v>9</v>
      </c>
    </row>
    <row r="8" spans="1:2" x14ac:dyDescent="0.35">
      <c r="A8" s="4" t="s">
        <v>10</v>
      </c>
      <c r="B8" s="4" t="s">
        <v>11</v>
      </c>
    </row>
    <row r="9" spans="1:2" x14ac:dyDescent="0.35">
      <c r="A9" s="4" t="s">
        <v>12</v>
      </c>
      <c r="B9" s="4" t="s">
        <v>13</v>
      </c>
    </row>
    <row r="10" spans="1:2" x14ac:dyDescent="0.35">
      <c r="A10" s="4" t="s">
        <v>14</v>
      </c>
      <c r="B10" s="4" t="s">
        <v>15</v>
      </c>
    </row>
    <row r="11" spans="1:2" x14ac:dyDescent="0.35">
      <c r="A11" s="4" t="s">
        <v>16</v>
      </c>
      <c r="B11" s="4" t="s">
        <v>17</v>
      </c>
    </row>
    <row r="12" spans="1:2" x14ac:dyDescent="0.35">
      <c r="A12" s="4" t="s">
        <v>18</v>
      </c>
      <c r="B12" s="4" t="s">
        <v>19</v>
      </c>
    </row>
    <row r="13" spans="1:2" x14ac:dyDescent="0.35">
      <c r="A13" s="4" t="s">
        <v>20</v>
      </c>
      <c r="B13" s="4" t="s">
        <v>21</v>
      </c>
    </row>
    <row r="14" spans="1:2" x14ac:dyDescent="0.35">
      <c r="A14" s="4" t="s">
        <v>22</v>
      </c>
      <c r="B14" s="4" t="s">
        <v>23</v>
      </c>
    </row>
    <row r="15" spans="1:2" x14ac:dyDescent="0.35">
      <c r="A15" s="4" t="s">
        <v>24</v>
      </c>
      <c r="B15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4" customWidth="1"/>
    <col min="4" max="4" width="9" customWidth="1"/>
    <col min="5" max="5" width="18" customWidth="1"/>
    <col min="6" max="6" width="20" customWidth="1"/>
    <col min="7" max="7" width="15" customWidth="1"/>
    <col min="8" max="9" width="13" customWidth="1"/>
    <col min="10" max="10" width="18" customWidth="1"/>
    <col min="11" max="11" width="16" customWidth="1"/>
    <col min="12" max="12" width="14" customWidth="1"/>
  </cols>
  <sheetData>
    <row r="1" spans="1:12" ht="22" customHeight="1" x14ac:dyDescent="0.35">
      <c r="A1" s="5" t="s">
        <v>4</v>
      </c>
      <c r="B1" s="5" t="s">
        <v>26</v>
      </c>
      <c r="C1" s="5" t="s">
        <v>27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  <c r="L1" s="5" t="s">
        <v>24</v>
      </c>
    </row>
    <row r="2" spans="1:12" x14ac:dyDescent="0.35">
      <c r="A2" s="6">
        <v>1001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7">
        <v>42938</v>
      </c>
      <c r="I2" s="7"/>
      <c r="J2" s="8">
        <v>180000</v>
      </c>
      <c r="K2" s="6">
        <v>4</v>
      </c>
      <c r="L2" s="7">
        <v>31611</v>
      </c>
    </row>
    <row r="3" spans="1:12" x14ac:dyDescent="0.35">
      <c r="A3" s="6">
        <v>1002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7">
        <v>42475</v>
      </c>
      <c r="I3" s="7"/>
      <c r="J3" s="8">
        <v>166000</v>
      </c>
      <c r="K3" s="6">
        <v>4</v>
      </c>
      <c r="L3" s="7">
        <v>32195</v>
      </c>
    </row>
    <row r="4" spans="1:12" x14ac:dyDescent="0.35">
      <c r="A4" s="6">
        <v>1003</v>
      </c>
      <c r="B4" s="6" t="s">
        <v>40</v>
      </c>
      <c r="C4" s="6" t="s">
        <v>41</v>
      </c>
      <c r="D4" s="6" t="s">
        <v>42</v>
      </c>
      <c r="E4" s="6" t="s">
        <v>37</v>
      </c>
      <c r="F4" s="6" t="s">
        <v>43</v>
      </c>
      <c r="G4" s="6" t="s">
        <v>44</v>
      </c>
      <c r="H4" s="7">
        <v>44193</v>
      </c>
      <c r="I4" s="7"/>
      <c r="J4" s="8">
        <v>180000</v>
      </c>
      <c r="K4" s="6">
        <v>3</v>
      </c>
      <c r="L4" s="7">
        <v>35812</v>
      </c>
    </row>
    <row r="5" spans="1:12" x14ac:dyDescent="0.35">
      <c r="A5" s="6">
        <v>1004</v>
      </c>
      <c r="B5" s="6" t="s">
        <v>45</v>
      </c>
      <c r="C5" s="6" t="s">
        <v>46</v>
      </c>
      <c r="D5" s="6" t="s">
        <v>42</v>
      </c>
      <c r="E5" s="6" t="s">
        <v>47</v>
      </c>
      <c r="F5" s="6" t="s">
        <v>48</v>
      </c>
      <c r="G5" s="6" t="s">
        <v>33</v>
      </c>
      <c r="H5" s="7">
        <v>42547</v>
      </c>
      <c r="I5" s="7"/>
      <c r="J5" s="8">
        <v>197000</v>
      </c>
      <c r="K5" s="6">
        <v>3</v>
      </c>
      <c r="L5" s="7">
        <v>34845</v>
      </c>
    </row>
    <row r="6" spans="1:12" x14ac:dyDescent="0.35">
      <c r="A6" s="6">
        <v>1005</v>
      </c>
      <c r="B6" s="6" t="s">
        <v>49</v>
      </c>
      <c r="C6" s="6" t="s">
        <v>50</v>
      </c>
      <c r="D6" s="6" t="s">
        <v>30</v>
      </c>
      <c r="E6" s="6" t="s">
        <v>51</v>
      </c>
      <c r="F6" s="6" t="s">
        <v>52</v>
      </c>
      <c r="G6" s="6" t="s">
        <v>33</v>
      </c>
      <c r="H6" s="7">
        <v>43836</v>
      </c>
      <c r="I6" s="7">
        <v>45658</v>
      </c>
      <c r="J6" s="8">
        <v>113000</v>
      </c>
      <c r="K6" s="6">
        <v>3</v>
      </c>
      <c r="L6" s="7">
        <v>34826</v>
      </c>
    </row>
    <row r="7" spans="1:12" x14ac:dyDescent="0.35">
      <c r="A7" s="6">
        <v>1006</v>
      </c>
      <c r="B7" s="6" t="s">
        <v>53</v>
      </c>
      <c r="C7" s="6" t="s">
        <v>46</v>
      </c>
      <c r="D7" s="6" t="s">
        <v>54</v>
      </c>
      <c r="E7" s="6" t="s">
        <v>37</v>
      </c>
      <c r="F7" s="6" t="s">
        <v>38</v>
      </c>
      <c r="G7" s="6" t="s">
        <v>33</v>
      </c>
      <c r="H7" s="7">
        <v>43824</v>
      </c>
      <c r="I7" s="7"/>
      <c r="J7" s="8">
        <v>130000</v>
      </c>
      <c r="K7" s="6">
        <v>4</v>
      </c>
      <c r="L7" s="7">
        <v>36398</v>
      </c>
    </row>
    <row r="8" spans="1:12" x14ac:dyDescent="0.35">
      <c r="A8" s="6">
        <v>1007</v>
      </c>
      <c r="B8" s="6" t="s">
        <v>55</v>
      </c>
      <c r="C8" s="6" t="s">
        <v>50</v>
      </c>
      <c r="D8" s="6" t="s">
        <v>42</v>
      </c>
      <c r="E8" s="6" t="s">
        <v>56</v>
      </c>
      <c r="F8" s="6" t="s">
        <v>57</v>
      </c>
      <c r="G8" s="6" t="s">
        <v>33</v>
      </c>
      <c r="H8" s="7">
        <v>44428</v>
      </c>
      <c r="I8" s="7"/>
      <c r="J8" s="8">
        <v>212000</v>
      </c>
      <c r="K8" s="6">
        <v>3</v>
      </c>
      <c r="L8" s="7">
        <v>27615</v>
      </c>
    </row>
    <row r="9" spans="1:12" x14ac:dyDescent="0.35">
      <c r="A9" s="6">
        <v>1008</v>
      </c>
      <c r="B9" s="6" t="s">
        <v>58</v>
      </c>
      <c r="C9" s="6" t="s">
        <v>59</v>
      </c>
      <c r="D9" s="6" t="s">
        <v>42</v>
      </c>
      <c r="E9" s="6" t="s">
        <v>51</v>
      </c>
      <c r="F9" s="6" t="s">
        <v>52</v>
      </c>
      <c r="G9" s="6" t="s">
        <v>39</v>
      </c>
      <c r="H9" s="7">
        <v>45109</v>
      </c>
      <c r="I9" s="7"/>
      <c r="J9" s="8">
        <v>164000</v>
      </c>
      <c r="K9" s="6">
        <v>3</v>
      </c>
      <c r="L9" s="7">
        <v>33528</v>
      </c>
    </row>
    <row r="10" spans="1:12" x14ac:dyDescent="0.35">
      <c r="A10" s="6">
        <v>1009</v>
      </c>
      <c r="B10" s="6" t="s">
        <v>49</v>
      </c>
      <c r="C10" s="6" t="s">
        <v>60</v>
      </c>
      <c r="D10" s="6" t="s">
        <v>30</v>
      </c>
      <c r="E10" s="6" t="s">
        <v>51</v>
      </c>
      <c r="F10" s="6" t="s">
        <v>61</v>
      </c>
      <c r="G10" s="6" t="s">
        <v>62</v>
      </c>
      <c r="H10" s="7">
        <v>44406</v>
      </c>
      <c r="I10" s="7">
        <v>45275</v>
      </c>
      <c r="J10" s="8">
        <v>317000</v>
      </c>
      <c r="K10" s="6"/>
      <c r="L10" s="7">
        <v>30973</v>
      </c>
    </row>
    <row r="11" spans="1:12" x14ac:dyDescent="0.35">
      <c r="A11" s="6">
        <v>1010</v>
      </c>
      <c r="B11" s="6" t="s">
        <v>58</v>
      </c>
      <c r="C11" s="6" t="s">
        <v>63</v>
      </c>
      <c r="D11" s="6" t="s">
        <v>30</v>
      </c>
      <c r="E11" s="6" t="s">
        <v>56</v>
      </c>
      <c r="F11" s="6" t="s">
        <v>57</v>
      </c>
      <c r="G11" s="6" t="s">
        <v>44</v>
      </c>
      <c r="H11" s="7">
        <v>42925</v>
      </c>
      <c r="I11" s="7"/>
      <c r="J11" s="8">
        <v>167000</v>
      </c>
      <c r="K11" s="6">
        <v>4</v>
      </c>
      <c r="L11" s="7">
        <v>27973</v>
      </c>
    </row>
    <row r="12" spans="1:12" x14ac:dyDescent="0.35">
      <c r="A12" s="6">
        <v>1011</v>
      </c>
      <c r="B12" s="6" t="s">
        <v>64</v>
      </c>
      <c r="C12" s="6" t="s">
        <v>46</v>
      </c>
      <c r="D12" s="6" t="s">
        <v>30</v>
      </c>
      <c r="E12" s="6" t="s">
        <v>65</v>
      </c>
      <c r="F12" s="6" t="s">
        <v>66</v>
      </c>
      <c r="G12" s="6" t="s">
        <v>62</v>
      </c>
      <c r="H12" s="7">
        <v>44345</v>
      </c>
      <c r="I12" s="7">
        <v>45416</v>
      </c>
      <c r="J12" s="8">
        <v>196000</v>
      </c>
      <c r="K12" s="6">
        <v>1</v>
      </c>
      <c r="L12" s="7">
        <v>33623</v>
      </c>
    </row>
    <row r="13" spans="1:12" x14ac:dyDescent="0.35">
      <c r="A13" s="6">
        <v>1012</v>
      </c>
      <c r="B13" s="6" t="s">
        <v>34</v>
      </c>
      <c r="C13" s="6" t="s">
        <v>67</v>
      </c>
      <c r="D13" s="6" t="s">
        <v>54</v>
      </c>
      <c r="E13" s="6" t="s">
        <v>68</v>
      </c>
      <c r="F13" s="6" t="s">
        <v>69</v>
      </c>
      <c r="G13" s="6" t="s">
        <v>33</v>
      </c>
      <c r="H13" s="7">
        <v>45576</v>
      </c>
      <c r="I13" s="7">
        <v>46000</v>
      </c>
      <c r="J13" s="8">
        <v>140000</v>
      </c>
      <c r="K13" s="6">
        <v>1</v>
      </c>
      <c r="L13" s="7">
        <v>31373</v>
      </c>
    </row>
    <row r="14" spans="1:12" x14ac:dyDescent="0.35">
      <c r="A14" s="6">
        <v>1013</v>
      </c>
      <c r="B14" s="6" t="s">
        <v>70</v>
      </c>
      <c r="C14" s="6" t="s">
        <v>71</v>
      </c>
      <c r="D14" s="6" t="s">
        <v>42</v>
      </c>
      <c r="E14" s="6" t="s">
        <v>47</v>
      </c>
      <c r="F14" s="6" t="s">
        <v>72</v>
      </c>
      <c r="G14" s="6" t="s">
        <v>33</v>
      </c>
      <c r="H14" s="7">
        <v>45122</v>
      </c>
      <c r="I14" s="7"/>
      <c r="J14" s="8">
        <v>545000</v>
      </c>
      <c r="K14" s="6">
        <v>4</v>
      </c>
      <c r="L14" s="7">
        <v>30917</v>
      </c>
    </row>
    <row r="15" spans="1:12" x14ac:dyDescent="0.35">
      <c r="A15" s="6">
        <v>1014</v>
      </c>
      <c r="B15" s="6" t="s">
        <v>73</v>
      </c>
      <c r="C15" s="6" t="s">
        <v>50</v>
      </c>
      <c r="D15" s="6" t="s">
        <v>36</v>
      </c>
      <c r="E15" s="6" t="s">
        <v>51</v>
      </c>
      <c r="F15" s="6" t="s">
        <v>52</v>
      </c>
      <c r="G15" s="6" t="s">
        <v>44</v>
      </c>
      <c r="H15" s="7">
        <v>44823</v>
      </c>
      <c r="I15" s="7"/>
      <c r="J15" s="8">
        <v>196000</v>
      </c>
      <c r="K15" s="6">
        <v>3</v>
      </c>
      <c r="L15" s="7">
        <v>27876</v>
      </c>
    </row>
    <row r="16" spans="1:12" x14ac:dyDescent="0.35">
      <c r="A16" s="6">
        <v>1015</v>
      </c>
      <c r="B16" s="6" t="s">
        <v>74</v>
      </c>
      <c r="C16" s="6" t="s">
        <v>46</v>
      </c>
      <c r="D16" s="6" t="s">
        <v>36</v>
      </c>
      <c r="E16" s="6" t="s">
        <v>75</v>
      </c>
      <c r="F16" s="6" t="s">
        <v>57</v>
      </c>
      <c r="G16" s="6" t="s">
        <v>33</v>
      </c>
      <c r="H16" s="7">
        <v>43241</v>
      </c>
      <c r="I16" s="7"/>
      <c r="J16" s="8">
        <v>224000</v>
      </c>
      <c r="K16" s="6">
        <v>4</v>
      </c>
      <c r="L16" s="7">
        <v>33362</v>
      </c>
    </row>
    <row r="17" spans="1:12" x14ac:dyDescent="0.35">
      <c r="A17" s="6">
        <v>1016</v>
      </c>
      <c r="B17" s="6" t="s">
        <v>76</v>
      </c>
      <c r="C17" s="6" t="s">
        <v>77</v>
      </c>
      <c r="D17" s="6" t="s">
        <v>36</v>
      </c>
      <c r="E17" s="6" t="s">
        <v>68</v>
      </c>
      <c r="F17" s="6" t="s">
        <v>69</v>
      </c>
      <c r="G17" s="6" t="s">
        <v>62</v>
      </c>
      <c r="H17" s="7">
        <v>45382</v>
      </c>
      <c r="I17" s="7"/>
      <c r="J17" s="8">
        <v>149000</v>
      </c>
      <c r="K17" s="6">
        <v>4</v>
      </c>
      <c r="L17" s="7">
        <v>29946</v>
      </c>
    </row>
    <row r="18" spans="1:12" x14ac:dyDescent="0.35">
      <c r="A18" s="6">
        <v>1017</v>
      </c>
      <c r="B18" s="6" t="s">
        <v>78</v>
      </c>
      <c r="C18" s="6" t="s">
        <v>50</v>
      </c>
      <c r="D18" s="6" t="s">
        <v>36</v>
      </c>
      <c r="E18" s="6" t="s">
        <v>79</v>
      </c>
      <c r="F18" s="6" t="s">
        <v>80</v>
      </c>
      <c r="G18" s="6" t="s">
        <v>33</v>
      </c>
      <c r="H18" s="7">
        <v>42797</v>
      </c>
      <c r="I18" s="7"/>
      <c r="J18" s="8">
        <v>161000</v>
      </c>
      <c r="K18" s="6">
        <v>3</v>
      </c>
      <c r="L18" s="7">
        <v>32449</v>
      </c>
    </row>
    <row r="19" spans="1:12" x14ac:dyDescent="0.35">
      <c r="A19" s="6">
        <v>1018</v>
      </c>
      <c r="B19" s="6" t="s">
        <v>81</v>
      </c>
      <c r="C19" s="6" t="s">
        <v>82</v>
      </c>
      <c r="D19" s="6" t="s">
        <v>54</v>
      </c>
      <c r="E19" s="6" t="s">
        <v>56</v>
      </c>
      <c r="F19" s="6" t="s">
        <v>57</v>
      </c>
      <c r="G19" s="6" t="s">
        <v>39</v>
      </c>
      <c r="H19" s="7">
        <v>44904</v>
      </c>
      <c r="I19" s="7"/>
      <c r="J19" s="8">
        <v>204000</v>
      </c>
      <c r="K19" s="6">
        <v>5</v>
      </c>
      <c r="L19" s="7">
        <v>33997</v>
      </c>
    </row>
    <row r="20" spans="1:12" x14ac:dyDescent="0.35">
      <c r="A20" s="6">
        <v>1019</v>
      </c>
      <c r="B20" s="6" t="s">
        <v>83</v>
      </c>
      <c r="C20" s="6" t="s">
        <v>59</v>
      </c>
      <c r="D20" s="6" t="s">
        <v>54</v>
      </c>
      <c r="E20" s="6" t="s">
        <v>65</v>
      </c>
      <c r="F20" s="6" t="s">
        <v>84</v>
      </c>
      <c r="G20" s="6" t="s">
        <v>44</v>
      </c>
      <c r="H20" s="7">
        <v>43358</v>
      </c>
      <c r="I20" s="7"/>
      <c r="J20" s="8">
        <v>174000</v>
      </c>
      <c r="K20" s="6">
        <v>3</v>
      </c>
      <c r="L20" s="7">
        <v>32862</v>
      </c>
    </row>
    <row r="21" spans="1:12" x14ac:dyDescent="0.35">
      <c r="A21" s="6">
        <v>1020</v>
      </c>
      <c r="B21" s="6" t="s">
        <v>49</v>
      </c>
      <c r="C21" s="6" t="s">
        <v>59</v>
      </c>
      <c r="D21" s="6" t="s">
        <v>42</v>
      </c>
      <c r="E21" s="6" t="s">
        <v>68</v>
      </c>
      <c r="F21" s="6" t="s">
        <v>85</v>
      </c>
      <c r="G21" s="6" t="s">
        <v>62</v>
      </c>
      <c r="H21" s="7">
        <v>43637</v>
      </c>
      <c r="I21" s="7"/>
      <c r="J21" s="8">
        <v>205000</v>
      </c>
      <c r="K21" s="6"/>
      <c r="L21" s="7">
        <v>29886</v>
      </c>
    </row>
    <row r="22" spans="1:12" x14ac:dyDescent="0.35">
      <c r="A22" s="6">
        <v>1021</v>
      </c>
      <c r="B22" s="6" t="s">
        <v>86</v>
      </c>
      <c r="C22" s="6" t="s">
        <v>87</v>
      </c>
      <c r="D22" s="6" t="s">
        <v>42</v>
      </c>
      <c r="E22" s="6" t="s">
        <v>88</v>
      </c>
      <c r="F22" s="6" t="s">
        <v>89</v>
      </c>
      <c r="G22" s="6" t="s">
        <v>39</v>
      </c>
      <c r="H22" s="7">
        <v>45356</v>
      </c>
      <c r="I22" s="7"/>
      <c r="J22" s="8">
        <v>216000</v>
      </c>
      <c r="K22" s="6">
        <v>4</v>
      </c>
      <c r="L22" s="7">
        <v>35840</v>
      </c>
    </row>
    <row r="23" spans="1:12" x14ac:dyDescent="0.35">
      <c r="A23" s="6">
        <v>1022</v>
      </c>
      <c r="B23" s="6" t="s">
        <v>90</v>
      </c>
      <c r="C23" s="6" t="s">
        <v>91</v>
      </c>
      <c r="D23" s="6" t="s">
        <v>42</v>
      </c>
      <c r="E23" s="6" t="s">
        <v>37</v>
      </c>
      <c r="F23" s="6" t="s">
        <v>43</v>
      </c>
      <c r="G23" s="6" t="s">
        <v>33</v>
      </c>
      <c r="H23" s="7">
        <v>44525</v>
      </c>
      <c r="I23" s="7">
        <v>45698</v>
      </c>
      <c r="J23" s="8">
        <v>228000</v>
      </c>
      <c r="K23" s="6">
        <v>4</v>
      </c>
      <c r="L23" s="7">
        <v>32315</v>
      </c>
    </row>
    <row r="24" spans="1:12" x14ac:dyDescent="0.35">
      <c r="A24" s="6">
        <v>1023</v>
      </c>
      <c r="B24" s="6" t="s">
        <v>92</v>
      </c>
      <c r="C24" s="6" t="s">
        <v>93</v>
      </c>
      <c r="D24" s="6" t="s">
        <v>42</v>
      </c>
      <c r="E24" s="6" t="s">
        <v>94</v>
      </c>
      <c r="F24" s="6" t="s">
        <v>52</v>
      </c>
      <c r="G24" s="6" t="s">
        <v>44</v>
      </c>
      <c r="H24" s="7">
        <v>44398</v>
      </c>
      <c r="I24" s="7"/>
      <c r="J24" s="8">
        <v>174000</v>
      </c>
      <c r="K24" s="6">
        <v>4</v>
      </c>
      <c r="L24" s="7">
        <v>36270</v>
      </c>
    </row>
    <row r="25" spans="1:12" x14ac:dyDescent="0.35">
      <c r="A25" s="6">
        <v>1024</v>
      </c>
      <c r="B25" s="6" t="s">
        <v>95</v>
      </c>
      <c r="C25" s="6" t="s">
        <v>91</v>
      </c>
      <c r="D25" s="6" t="s">
        <v>42</v>
      </c>
      <c r="E25" s="6" t="s">
        <v>88</v>
      </c>
      <c r="F25" s="6" t="s">
        <v>96</v>
      </c>
      <c r="G25" s="6" t="s">
        <v>44</v>
      </c>
      <c r="H25" s="7">
        <v>45503</v>
      </c>
      <c r="I25" s="7"/>
      <c r="J25" s="8">
        <v>516000</v>
      </c>
      <c r="K25" s="6">
        <v>3</v>
      </c>
      <c r="L25" s="7">
        <v>32624</v>
      </c>
    </row>
    <row r="26" spans="1:12" x14ac:dyDescent="0.35">
      <c r="A26" s="6">
        <v>1025</v>
      </c>
      <c r="B26" s="6" t="s">
        <v>97</v>
      </c>
      <c r="C26" s="6" t="s">
        <v>98</v>
      </c>
      <c r="D26" s="6" t="s">
        <v>36</v>
      </c>
      <c r="E26" s="6" t="s">
        <v>79</v>
      </c>
      <c r="F26" s="6" t="s">
        <v>80</v>
      </c>
      <c r="G26" s="6" t="s">
        <v>62</v>
      </c>
      <c r="H26" s="7">
        <v>45084</v>
      </c>
      <c r="I26" s="7"/>
      <c r="J26" s="8">
        <v>198000</v>
      </c>
      <c r="K26" s="6">
        <v>3</v>
      </c>
      <c r="L26" s="7">
        <v>28598</v>
      </c>
    </row>
    <row r="27" spans="1:12" x14ac:dyDescent="0.35">
      <c r="A27" s="6">
        <v>1026</v>
      </c>
      <c r="B27" s="6" t="s">
        <v>99</v>
      </c>
      <c r="C27" s="6" t="s">
        <v>100</v>
      </c>
      <c r="D27" s="6" t="s">
        <v>42</v>
      </c>
      <c r="E27" s="6" t="s">
        <v>47</v>
      </c>
      <c r="F27" s="6" t="s">
        <v>101</v>
      </c>
      <c r="G27" s="6" t="s">
        <v>62</v>
      </c>
      <c r="H27" s="7">
        <v>44376</v>
      </c>
      <c r="I27" s="7"/>
      <c r="J27" s="8">
        <v>124000</v>
      </c>
      <c r="K27" s="6">
        <v>4</v>
      </c>
      <c r="L27" s="7">
        <v>34190</v>
      </c>
    </row>
    <row r="28" spans="1:12" x14ac:dyDescent="0.35">
      <c r="A28" s="6">
        <v>1027</v>
      </c>
      <c r="B28" s="6" t="s">
        <v>97</v>
      </c>
      <c r="C28" s="6" t="s">
        <v>87</v>
      </c>
      <c r="D28" s="6" t="s">
        <v>36</v>
      </c>
      <c r="E28" s="6" t="s">
        <v>88</v>
      </c>
      <c r="F28" s="6" t="s">
        <v>89</v>
      </c>
      <c r="G28" s="6" t="s">
        <v>39</v>
      </c>
      <c r="H28" s="7">
        <v>42568</v>
      </c>
      <c r="I28" s="7">
        <v>44751</v>
      </c>
      <c r="J28" s="8">
        <v>152000</v>
      </c>
      <c r="K28" s="6">
        <v>3</v>
      </c>
      <c r="L28" s="7">
        <v>31346</v>
      </c>
    </row>
    <row r="29" spans="1:12" x14ac:dyDescent="0.35">
      <c r="A29" s="6">
        <v>1028</v>
      </c>
      <c r="B29" s="6" t="s">
        <v>102</v>
      </c>
      <c r="C29" s="6" t="s">
        <v>41</v>
      </c>
      <c r="D29" s="6" t="s">
        <v>54</v>
      </c>
      <c r="E29" s="6" t="s">
        <v>79</v>
      </c>
      <c r="F29" s="6" t="s">
        <v>32</v>
      </c>
      <c r="G29" s="6" t="s">
        <v>33</v>
      </c>
      <c r="H29" s="7">
        <v>44158</v>
      </c>
      <c r="I29" s="7">
        <v>44930</v>
      </c>
      <c r="J29" s="8">
        <v>179000</v>
      </c>
      <c r="K29" s="6">
        <v>2</v>
      </c>
      <c r="L29" s="7">
        <v>31634</v>
      </c>
    </row>
    <row r="30" spans="1:12" x14ac:dyDescent="0.35">
      <c r="A30" s="6">
        <v>1029</v>
      </c>
      <c r="B30" s="6" t="s">
        <v>103</v>
      </c>
      <c r="C30" s="6" t="s">
        <v>104</v>
      </c>
      <c r="D30" s="6" t="s">
        <v>36</v>
      </c>
      <c r="E30" s="6" t="s">
        <v>68</v>
      </c>
      <c r="F30" s="6" t="s">
        <v>105</v>
      </c>
      <c r="G30" s="6" t="s">
        <v>33</v>
      </c>
      <c r="H30" s="7">
        <v>43715</v>
      </c>
      <c r="I30" s="7"/>
      <c r="J30" s="8">
        <v>322000</v>
      </c>
      <c r="K30" s="6">
        <v>4</v>
      </c>
      <c r="L30" s="7">
        <v>36654</v>
      </c>
    </row>
    <row r="31" spans="1:12" x14ac:dyDescent="0.35">
      <c r="A31" s="6">
        <v>1030</v>
      </c>
      <c r="B31" s="6" t="s">
        <v>83</v>
      </c>
      <c r="C31" s="6" t="s">
        <v>87</v>
      </c>
      <c r="D31" s="6" t="s">
        <v>36</v>
      </c>
      <c r="E31" s="6" t="s">
        <v>79</v>
      </c>
      <c r="F31" s="6" t="s">
        <v>106</v>
      </c>
      <c r="G31" s="6" t="s">
        <v>33</v>
      </c>
      <c r="H31" s="7">
        <v>45410</v>
      </c>
      <c r="I31" s="7"/>
      <c r="J31" s="8">
        <v>283000</v>
      </c>
      <c r="K31" s="6">
        <v>3</v>
      </c>
      <c r="L31" s="7">
        <v>29699</v>
      </c>
    </row>
    <row r="32" spans="1:12" x14ac:dyDescent="0.35">
      <c r="A32" s="6">
        <v>1031</v>
      </c>
      <c r="B32" s="6" t="s">
        <v>107</v>
      </c>
      <c r="C32" s="6" t="s">
        <v>108</v>
      </c>
      <c r="D32" s="6" t="s">
        <v>42</v>
      </c>
      <c r="E32" s="6" t="s">
        <v>88</v>
      </c>
      <c r="F32" s="6" t="s">
        <v>89</v>
      </c>
      <c r="G32" s="6" t="s">
        <v>33</v>
      </c>
      <c r="H32" s="7">
        <v>44555</v>
      </c>
      <c r="I32" s="7">
        <v>46009</v>
      </c>
      <c r="J32" s="8">
        <v>133000</v>
      </c>
      <c r="K32" s="6">
        <v>3</v>
      </c>
      <c r="L32" s="7">
        <v>36703</v>
      </c>
    </row>
    <row r="33" spans="1:12" x14ac:dyDescent="0.35">
      <c r="A33" s="6">
        <v>1032</v>
      </c>
      <c r="B33" s="6" t="s">
        <v>109</v>
      </c>
      <c r="C33" s="6" t="s">
        <v>104</v>
      </c>
      <c r="D33" s="6" t="s">
        <v>42</v>
      </c>
      <c r="E33" s="6" t="s">
        <v>88</v>
      </c>
      <c r="F33" s="6" t="s">
        <v>89</v>
      </c>
      <c r="G33" s="6" t="s">
        <v>39</v>
      </c>
      <c r="H33" s="7">
        <v>43885</v>
      </c>
      <c r="I33" s="7"/>
      <c r="J33" s="8">
        <v>148000</v>
      </c>
      <c r="K33" s="6">
        <v>1</v>
      </c>
      <c r="L33" s="7">
        <v>31757</v>
      </c>
    </row>
    <row r="34" spans="1:12" x14ac:dyDescent="0.35">
      <c r="A34" s="6">
        <v>1033</v>
      </c>
      <c r="B34" s="6" t="s">
        <v>83</v>
      </c>
      <c r="C34" s="6" t="s">
        <v>67</v>
      </c>
      <c r="D34" s="6" t="s">
        <v>36</v>
      </c>
      <c r="E34" s="6" t="s">
        <v>51</v>
      </c>
      <c r="F34" s="6" t="s">
        <v>61</v>
      </c>
      <c r="G34" s="6" t="s">
        <v>33</v>
      </c>
      <c r="H34" s="7">
        <v>44485</v>
      </c>
      <c r="I34" s="7"/>
      <c r="J34" s="8">
        <v>258000</v>
      </c>
      <c r="K34" s="6">
        <v>5</v>
      </c>
      <c r="L34" s="7">
        <v>31240</v>
      </c>
    </row>
    <row r="35" spans="1:12" x14ac:dyDescent="0.35">
      <c r="A35" s="6">
        <v>1034</v>
      </c>
      <c r="B35" s="6" t="s">
        <v>110</v>
      </c>
      <c r="C35" s="6" t="s">
        <v>82</v>
      </c>
      <c r="D35" s="6" t="s">
        <v>42</v>
      </c>
      <c r="E35" s="6" t="s">
        <v>79</v>
      </c>
      <c r="F35" s="6" t="s">
        <v>32</v>
      </c>
      <c r="G35" s="6" t="s">
        <v>39</v>
      </c>
      <c r="H35" s="7">
        <v>44375</v>
      </c>
      <c r="I35" s="7"/>
      <c r="J35" s="8">
        <v>150000</v>
      </c>
      <c r="K35" s="6">
        <v>2</v>
      </c>
      <c r="L35" s="7">
        <v>32617</v>
      </c>
    </row>
    <row r="36" spans="1:12" x14ac:dyDescent="0.35">
      <c r="A36" s="6">
        <v>1035</v>
      </c>
      <c r="B36" s="6" t="s">
        <v>95</v>
      </c>
      <c r="C36" s="6" t="s">
        <v>82</v>
      </c>
      <c r="D36" s="6" t="s">
        <v>30</v>
      </c>
      <c r="E36" s="6" t="s">
        <v>47</v>
      </c>
      <c r="F36" s="6" t="s">
        <v>101</v>
      </c>
      <c r="G36" s="6" t="s">
        <v>33</v>
      </c>
      <c r="H36" s="7">
        <v>42922</v>
      </c>
      <c r="I36" s="7"/>
      <c r="J36" s="8">
        <v>141000</v>
      </c>
      <c r="K36" s="6">
        <v>3</v>
      </c>
      <c r="L36" s="7">
        <v>32100</v>
      </c>
    </row>
    <row r="37" spans="1:12" x14ac:dyDescent="0.35">
      <c r="A37" s="6">
        <v>1036</v>
      </c>
      <c r="B37" s="6" t="s">
        <v>111</v>
      </c>
      <c r="C37" s="6" t="s">
        <v>100</v>
      </c>
      <c r="D37" s="6" t="s">
        <v>42</v>
      </c>
      <c r="E37" s="6" t="s">
        <v>88</v>
      </c>
      <c r="F37" s="6" t="s">
        <v>89</v>
      </c>
      <c r="G37" s="6" t="s">
        <v>62</v>
      </c>
      <c r="H37" s="7">
        <v>42387</v>
      </c>
      <c r="I37" s="7">
        <v>45716</v>
      </c>
      <c r="J37" s="8">
        <v>125000</v>
      </c>
      <c r="K37" s="6">
        <v>5</v>
      </c>
      <c r="L37" s="7">
        <v>34488</v>
      </c>
    </row>
    <row r="38" spans="1:12" x14ac:dyDescent="0.35">
      <c r="A38" s="6">
        <v>1037</v>
      </c>
      <c r="B38" s="6" t="s">
        <v>103</v>
      </c>
      <c r="C38" s="6" t="s">
        <v>29</v>
      </c>
      <c r="D38" s="6" t="s">
        <v>36</v>
      </c>
      <c r="E38" s="6" t="s">
        <v>65</v>
      </c>
      <c r="F38" s="6" t="s">
        <v>112</v>
      </c>
      <c r="G38" s="6" t="s">
        <v>113</v>
      </c>
      <c r="H38" s="7">
        <v>43172</v>
      </c>
      <c r="I38" s="7"/>
      <c r="J38" s="8">
        <v>482000</v>
      </c>
      <c r="K38" s="6">
        <v>3</v>
      </c>
      <c r="L38" s="7">
        <v>37156</v>
      </c>
    </row>
    <row r="39" spans="1:12" x14ac:dyDescent="0.35">
      <c r="A39" s="6">
        <v>1038</v>
      </c>
      <c r="B39" s="6" t="s">
        <v>114</v>
      </c>
      <c r="C39" s="6" t="s">
        <v>98</v>
      </c>
      <c r="D39" s="6" t="s">
        <v>36</v>
      </c>
      <c r="E39" s="6" t="s">
        <v>79</v>
      </c>
      <c r="F39" s="6" t="s">
        <v>80</v>
      </c>
      <c r="G39" s="6" t="s">
        <v>62</v>
      </c>
      <c r="H39" s="7">
        <v>42682</v>
      </c>
      <c r="I39" s="7"/>
      <c r="J39" s="8">
        <v>177000</v>
      </c>
      <c r="K39" s="6">
        <v>2</v>
      </c>
      <c r="L39" s="7">
        <v>32622</v>
      </c>
    </row>
    <row r="40" spans="1:12" x14ac:dyDescent="0.35">
      <c r="A40" s="6">
        <v>1039</v>
      </c>
      <c r="B40" s="6" t="s">
        <v>115</v>
      </c>
      <c r="C40" s="6" t="s">
        <v>41</v>
      </c>
      <c r="D40" s="6" t="s">
        <v>42</v>
      </c>
      <c r="E40" s="6" t="s">
        <v>68</v>
      </c>
      <c r="F40" s="6" t="s">
        <v>69</v>
      </c>
      <c r="G40" s="6" t="s">
        <v>113</v>
      </c>
      <c r="H40" s="7">
        <v>43155</v>
      </c>
      <c r="I40" s="7"/>
      <c r="J40" s="8">
        <v>155000</v>
      </c>
      <c r="K40" s="6">
        <v>5</v>
      </c>
      <c r="L40" s="7">
        <v>28820</v>
      </c>
    </row>
    <row r="41" spans="1:12" x14ac:dyDescent="0.35">
      <c r="A41" s="6">
        <v>1040</v>
      </c>
      <c r="B41" s="6" t="s">
        <v>116</v>
      </c>
      <c r="C41" s="6" t="s">
        <v>104</v>
      </c>
      <c r="D41" s="6" t="s">
        <v>36</v>
      </c>
      <c r="E41" s="6" t="s">
        <v>88</v>
      </c>
      <c r="F41" s="6" t="s">
        <v>89</v>
      </c>
      <c r="G41" s="6" t="s">
        <v>33</v>
      </c>
      <c r="H41" s="7">
        <v>44523</v>
      </c>
      <c r="I41" s="7"/>
      <c r="J41" s="8">
        <v>151000</v>
      </c>
      <c r="K41" s="6">
        <v>3</v>
      </c>
      <c r="L41" s="7">
        <v>36658</v>
      </c>
    </row>
    <row r="42" spans="1:12" x14ac:dyDescent="0.35">
      <c r="A42" s="6">
        <v>1041</v>
      </c>
      <c r="B42" s="6" t="s">
        <v>117</v>
      </c>
      <c r="C42" s="6" t="s">
        <v>41</v>
      </c>
      <c r="D42" s="6" t="s">
        <v>36</v>
      </c>
      <c r="E42" s="6" t="s">
        <v>51</v>
      </c>
      <c r="F42" s="6" t="s">
        <v>52</v>
      </c>
      <c r="G42" s="6" t="s">
        <v>113</v>
      </c>
      <c r="H42" s="7">
        <v>42636</v>
      </c>
      <c r="I42" s="7">
        <v>45574</v>
      </c>
      <c r="J42" s="8">
        <v>185000</v>
      </c>
      <c r="K42" s="6">
        <v>2</v>
      </c>
      <c r="L42" s="7">
        <v>29452</v>
      </c>
    </row>
    <row r="43" spans="1:12" x14ac:dyDescent="0.35">
      <c r="A43" s="6">
        <v>1042</v>
      </c>
      <c r="B43" s="6" t="s">
        <v>97</v>
      </c>
      <c r="C43" s="6" t="s">
        <v>87</v>
      </c>
      <c r="D43" s="6" t="s">
        <v>36</v>
      </c>
      <c r="E43" s="6" t="s">
        <v>51</v>
      </c>
      <c r="F43" s="6" t="s">
        <v>52</v>
      </c>
      <c r="G43" s="6" t="s">
        <v>33</v>
      </c>
      <c r="H43" s="7">
        <v>42943</v>
      </c>
      <c r="I43" s="7"/>
      <c r="J43" s="8">
        <v>158000</v>
      </c>
      <c r="K43" s="6">
        <v>5</v>
      </c>
      <c r="L43" s="7">
        <v>35543</v>
      </c>
    </row>
    <row r="44" spans="1:12" x14ac:dyDescent="0.35">
      <c r="A44" s="6">
        <v>1043</v>
      </c>
      <c r="B44" s="6" t="s">
        <v>86</v>
      </c>
      <c r="C44" s="6" t="s">
        <v>118</v>
      </c>
      <c r="D44" s="6" t="s">
        <v>42</v>
      </c>
      <c r="E44" s="6" t="s">
        <v>79</v>
      </c>
      <c r="F44" s="6" t="s">
        <v>32</v>
      </c>
      <c r="G44" s="6" t="s">
        <v>62</v>
      </c>
      <c r="H44" s="7">
        <v>43606</v>
      </c>
      <c r="I44" s="7"/>
      <c r="J44" s="8">
        <v>120000</v>
      </c>
      <c r="K44" s="6">
        <v>5</v>
      </c>
      <c r="L44" s="7">
        <v>36753</v>
      </c>
    </row>
    <row r="45" spans="1:12" x14ac:dyDescent="0.35">
      <c r="A45" s="6">
        <v>1044</v>
      </c>
      <c r="B45" s="6" t="s">
        <v>119</v>
      </c>
      <c r="C45" s="6" t="s">
        <v>93</v>
      </c>
      <c r="D45" s="6" t="s">
        <v>30</v>
      </c>
      <c r="E45" s="6" t="s">
        <v>56</v>
      </c>
      <c r="F45" s="6" t="s">
        <v>120</v>
      </c>
      <c r="G45" s="6" t="s">
        <v>113</v>
      </c>
      <c r="H45" s="7">
        <v>45109</v>
      </c>
      <c r="I45" s="7">
        <v>45639</v>
      </c>
      <c r="J45" s="8">
        <v>176000</v>
      </c>
      <c r="K45" s="6">
        <v>3</v>
      </c>
      <c r="L45" s="7">
        <v>28181</v>
      </c>
    </row>
    <row r="46" spans="1:12" x14ac:dyDescent="0.35">
      <c r="A46" s="6">
        <v>1045</v>
      </c>
      <c r="B46" s="6" t="s">
        <v>64</v>
      </c>
      <c r="C46" s="6" t="s">
        <v>93</v>
      </c>
      <c r="D46" s="6" t="s">
        <v>30</v>
      </c>
      <c r="E46" s="6" t="s">
        <v>88</v>
      </c>
      <c r="F46" s="6" t="s">
        <v>89</v>
      </c>
      <c r="G46" s="6" t="s">
        <v>44</v>
      </c>
      <c r="H46" s="7">
        <v>45429</v>
      </c>
      <c r="I46" s="7"/>
      <c r="J46" s="8">
        <v>113000</v>
      </c>
      <c r="K46" s="6">
        <v>4</v>
      </c>
      <c r="L46" s="7">
        <v>32768</v>
      </c>
    </row>
    <row r="47" spans="1:12" x14ac:dyDescent="0.35">
      <c r="A47" s="6">
        <v>1046</v>
      </c>
      <c r="B47" s="6" t="s">
        <v>121</v>
      </c>
      <c r="C47" s="6" t="s">
        <v>87</v>
      </c>
      <c r="D47" s="6" t="s">
        <v>36</v>
      </c>
      <c r="E47" s="6" t="s">
        <v>79</v>
      </c>
      <c r="F47" s="6" t="s">
        <v>32</v>
      </c>
      <c r="G47" s="6" t="s">
        <v>33</v>
      </c>
      <c r="H47" s="7">
        <v>43760</v>
      </c>
      <c r="I47" s="7"/>
      <c r="J47" s="8">
        <v>174000</v>
      </c>
      <c r="K47" s="6">
        <v>4</v>
      </c>
      <c r="L47" s="7">
        <v>27725</v>
      </c>
    </row>
    <row r="48" spans="1:12" x14ac:dyDescent="0.35">
      <c r="A48" s="6">
        <v>1047</v>
      </c>
      <c r="B48" s="6" t="s">
        <v>111</v>
      </c>
      <c r="C48" s="6" t="s">
        <v>77</v>
      </c>
      <c r="D48" s="6" t="s">
        <v>42</v>
      </c>
      <c r="E48" s="6" t="s">
        <v>65</v>
      </c>
      <c r="F48" s="6" t="s">
        <v>84</v>
      </c>
      <c r="G48" s="6" t="s">
        <v>44</v>
      </c>
      <c r="H48" s="7">
        <v>45636</v>
      </c>
      <c r="I48" s="7"/>
      <c r="J48" s="8">
        <v>157000</v>
      </c>
      <c r="K48" s="6">
        <v>4</v>
      </c>
      <c r="L48" s="7">
        <v>31474</v>
      </c>
    </row>
    <row r="49" spans="1:12" x14ac:dyDescent="0.35">
      <c r="A49" s="6">
        <v>1048</v>
      </c>
      <c r="B49" s="6" t="s">
        <v>95</v>
      </c>
      <c r="C49" s="6" t="s">
        <v>70</v>
      </c>
      <c r="D49" s="6" t="s">
        <v>42</v>
      </c>
      <c r="E49" s="6" t="s">
        <v>56</v>
      </c>
      <c r="F49" s="6" t="s">
        <v>120</v>
      </c>
      <c r="G49" s="6" t="s">
        <v>33</v>
      </c>
      <c r="H49" s="7">
        <v>42717</v>
      </c>
      <c r="I49" s="7"/>
      <c r="J49" s="8">
        <v>177000</v>
      </c>
      <c r="K49" s="6">
        <v>3</v>
      </c>
      <c r="L49" s="7">
        <v>33382</v>
      </c>
    </row>
    <row r="50" spans="1:12" x14ac:dyDescent="0.35">
      <c r="A50" s="6">
        <v>1049</v>
      </c>
      <c r="B50" s="6" t="s">
        <v>115</v>
      </c>
      <c r="C50" s="6" t="s">
        <v>29</v>
      </c>
      <c r="D50" s="6" t="s">
        <v>42</v>
      </c>
      <c r="E50" s="6" t="s">
        <v>51</v>
      </c>
      <c r="F50" s="6" t="s">
        <v>52</v>
      </c>
      <c r="G50" s="6" t="s">
        <v>39</v>
      </c>
      <c r="H50" s="7">
        <v>44377</v>
      </c>
      <c r="I50" s="7"/>
      <c r="J50" s="8">
        <v>169000</v>
      </c>
      <c r="K50" s="6">
        <v>2</v>
      </c>
      <c r="L50" s="7">
        <v>28353</v>
      </c>
    </row>
    <row r="51" spans="1:12" x14ac:dyDescent="0.35">
      <c r="A51" s="6">
        <v>1050</v>
      </c>
      <c r="B51" s="6" t="s">
        <v>90</v>
      </c>
      <c r="C51" s="6" t="s">
        <v>122</v>
      </c>
      <c r="D51" s="6" t="s">
        <v>42</v>
      </c>
      <c r="E51" s="6" t="s">
        <v>65</v>
      </c>
      <c r="F51" s="6" t="s">
        <v>84</v>
      </c>
      <c r="G51" s="6" t="s">
        <v>113</v>
      </c>
      <c r="H51" s="7">
        <v>45308</v>
      </c>
      <c r="I51" s="7">
        <v>45721</v>
      </c>
      <c r="J51" s="8">
        <v>166000</v>
      </c>
      <c r="K51" s="6">
        <v>4</v>
      </c>
      <c r="L51" s="7">
        <v>34151</v>
      </c>
    </row>
    <row r="52" spans="1:12" x14ac:dyDescent="0.35">
      <c r="A52" s="6">
        <v>1051</v>
      </c>
      <c r="B52" s="6" t="s">
        <v>107</v>
      </c>
      <c r="C52" s="6" t="s">
        <v>93</v>
      </c>
      <c r="D52" s="6" t="s">
        <v>42</v>
      </c>
      <c r="E52" s="6" t="s">
        <v>65</v>
      </c>
      <c r="F52" s="6" t="s">
        <v>66</v>
      </c>
      <c r="G52" s="6" t="s">
        <v>33</v>
      </c>
      <c r="H52" s="7">
        <v>43804</v>
      </c>
      <c r="I52" s="7">
        <v>45212</v>
      </c>
      <c r="J52" s="8">
        <v>223000</v>
      </c>
      <c r="K52" s="6">
        <v>3</v>
      </c>
      <c r="L52" s="7">
        <v>37081</v>
      </c>
    </row>
    <row r="53" spans="1:12" x14ac:dyDescent="0.35">
      <c r="A53" s="6">
        <v>1052</v>
      </c>
      <c r="B53" s="6" t="s">
        <v>55</v>
      </c>
      <c r="C53" s="6" t="s">
        <v>29</v>
      </c>
      <c r="D53" s="6" t="s">
        <v>30</v>
      </c>
      <c r="E53" s="6" t="s">
        <v>56</v>
      </c>
      <c r="F53" s="6" t="s">
        <v>120</v>
      </c>
      <c r="G53" s="6" t="s">
        <v>62</v>
      </c>
      <c r="H53" s="7">
        <v>45224</v>
      </c>
      <c r="I53" s="7"/>
      <c r="J53" s="8">
        <v>129000</v>
      </c>
      <c r="K53" s="6">
        <v>5</v>
      </c>
      <c r="L53" s="7">
        <v>34329</v>
      </c>
    </row>
    <row r="54" spans="1:12" x14ac:dyDescent="0.35">
      <c r="A54" s="6">
        <v>1053</v>
      </c>
      <c r="B54" s="6" t="s">
        <v>123</v>
      </c>
      <c r="C54" s="6" t="s">
        <v>124</v>
      </c>
      <c r="D54" s="6" t="s">
        <v>36</v>
      </c>
      <c r="E54" s="6" t="s">
        <v>88</v>
      </c>
      <c r="F54" s="6" t="s">
        <v>89</v>
      </c>
      <c r="G54" s="6" t="s">
        <v>33</v>
      </c>
      <c r="H54" s="7">
        <v>44245</v>
      </c>
      <c r="I54" s="7"/>
      <c r="J54" s="8">
        <v>170000</v>
      </c>
      <c r="K54" s="6">
        <v>4</v>
      </c>
      <c r="L54" s="7">
        <v>29528</v>
      </c>
    </row>
    <row r="55" spans="1:12" x14ac:dyDescent="0.35">
      <c r="A55" s="6">
        <v>1054</v>
      </c>
      <c r="B55" s="6" t="s">
        <v>49</v>
      </c>
      <c r="C55" s="6" t="s">
        <v>91</v>
      </c>
      <c r="D55" s="6" t="s">
        <v>42</v>
      </c>
      <c r="E55" s="6" t="s">
        <v>88</v>
      </c>
      <c r="F55" s="6" t="s">
        <v>89</v>
      </c>
      <c r="G55" s="6" t="s">
        <v>62</v>
      </c>
      <c r="H55" s="7">
        <v>43515</v>
      </c>
      <c r="I55" s="7">
        <v>44530</v>
      </c>
      <c r="J55" s="8">
        <v>154000</v>
      </c>
      <c r="K55" s="6">
        <v>4</v>
      </c>
      <c r="L55" s="7">
        <v>31738</v>
      </c>
    </row>
    <row r="56" spans="1:12" x14ac:dyDescent="0.35">
      <c r="A56" s="6">
        <v>1055</v>
      </c>
      <c r="B56" s="6" t="s">
        <v>95</v>
      </c>
      <c r="C56" s="6" t="s">
        <v>91</v>
      </c>
      <c r="D56" s="6" t="s">
        <v>42</v>
      </c>
      <c r="E56" s="6" t="s">
        <v>125</v>
      </c>
      <c r="F56" s="6" t="s">
        <v>126</v>
      </c>
      <c r="G56" s="6" t="s">
        <v>33</v>
      </c>
      <c r="H56" s="7">
        <v>45537</v>
      </c>
      <c r="I56" s="7"/>
      <c r="J56" s="8">
        <v>277000</v>
      </c>
      <c r="K56" s="6">
        <v>5</v>
      </c>
      <c r="L56" s="7">
        <v>28181</v>
      </c>
    </row>
    <row r="57" spans="1:12" x14ac:dyDescent="0.35">
      <c r="A57" s="6">
        <v>1056</v>
      </c>
      <c r="B57" s="6" t="s">
        <v>115</v>
      </c>
      <c r="C57" s="6" t="s">
        <v>127</v>
      </c>
      <c r="D57" s="6" t="s">
        <v>42</v>
      </c>
      <c r="E57" s="6" t="s">
        <v>56</v>
      </c>
      <c r="F57" s="6" t="s">
        <v>57</v>
      </c>
      <c r="G57" s="6" t="s">
        <v>113</v>
      </c>
      <c r="H57" s="7">
        <v>44183</v>
      </c>
      <c r="I57" s="7"/>
      <c r="J57" s="8">
        <v>162000</v>
      </c>
      <c r="K57" s="6">
        <v>2</v>
      </c>
      <c r="L57" s="7">
        <v>33823</v>
      </c>
    </row>
    <row r="58" spans="1:12" x14ac:dyDescent="0.35">
      <c r="A58" s="6">
        <v>1057</v>
      </c>
      <c r="B58" s="6" t="s">
        <v>34</v>
      </c>
      <c r="C58" s="6" t="s">
        <v>70</v>
      </c>
      <c r="D58" s="6" t="s">
        <v>36</v>
      </c>
      <c r="E58" s="6" t="s">
        <v>37</v>
      </c>
      <c r="F58" s="6" t="s">
        <v>38</v>
      </c>
      <c r="G58" s="6" t="s">
        <v>62</v>
      </c>
      <c r="H58" s="7">
        <v>42988</v>
      </c>
      <c r="I58" s="7"/>
      <c r="J58" s="8">
        <v>165000</v>
      </c>
      <c r="K58" s="6">
        <v>5</v>
      </c>
      <c r="L58" s="7">
        <v>30082</v>
      </c>
    </row>
    <row r="59" spans="1:12" x14ac:dyDescent="0.35">
      <c r="A59" s="6">
        <v>1058</v>
      </c>
      <c r="B59" s="6" t="s">
        <v>83</v>
      </c>
      <c r="C59" s="6" t="s">
        <v>29</v>
      </c>
      <c r="D59" s="6" t="s">
        <v>36</v>
      </c>
      <c r="E59" s="6" t="s">
        <v>47</v>
      </c>
      <c r="F59" s="6" t="s">
        <v>101</v>
      </c>
      <c r="G59" s="6" t="s">
        <v>33</v>
      </c>
      <c r="H59" s="7">
        <v>43811</v>
      </c>
      <c r="I59" s="7"/>
      <c r="J59" s="8">
        <v>179000</v>
      </c>
      <c r="K59" s="6">
        <v>4</v>
      </c>
      <c r="L59" s="7">
        <v>31625</v>
      </c>
    </row>
    <row r="60" spans="1:12" x14ac:dyDescent="0.35">
      <c r="A60" s="6">
        <v>1059</v>
      </c>
      <c r="B60" s="6" t="s">
        <v>92</v>
      </c>
      <c r="C60" s="6" t="s">
        <v>91</v>
      </c>
      <c r="D60" s="6" t="s">
        <v>30</v>
      </c>
      <c r="E60" s="6" t="s">
        <v>47</v>
      </c>
      <c r="F60" s="6" t="s">
        <v>126</v>
      </c>
      <c r="G60" s="6" t="s">
        <v>33</v>
      </c>
      <c r="H60" s="7">
        <v>42786</v>
      </c>
      <c r="I60" s="7"/>
      <c r="J60" s="8">
        <v>283000</v>
      </c>
      <c r="K60" s="6">
        <v>4</v>
      </c>
      <c r="L60" s="7">
        <v>29621</v>
      </c>
    </row>
    <row r="61" spans="1:12" x14ac:dyDescent="0.35">
      <c r="A61" s="6">
        <v>1060</v>
      </c>
      <c r="B61" s="6" t="s">
        <v>90</v>
      </c>
      <c r="C61" s="6" t="s">
        <v>67</v>
      </c>
      <c r="D61" s="6" t="s">
        <v>42</v>
      </c>
      <c r="E61" s="6" t="s">
        <v>68</v>
      </c>
      <c r="F61" s="6" t="s">
        <v>69</v>
      </c>
      <c r="G61" s="6" t="s">
        <v>113</v>
      </c>
      <c r="H61" s="7">
        <v>45059</v>
      </c>
      <c r="I61" s="7">
        <v>45935</v>
      </c>
      <c r="J61" s="8">
        <v>130000</v>
      </c>
      <c r="K61" s="6">
        <v>2</v>
      </c>
      <c r="L61" s="7">
        <v>31168</v>
      </c>
    </row>
    <row r="62" spans="1:12" x14ac:dyDescent="0.35">
      <c r="A62" s="6">
        <v>1061</v>
      </c>
      <c r="B62" s="6" t="s">
        <v>128</v>
      </c>
      <c r="C62" s="6" t="s">
        <v>129</v>
      </c>
      <c r="D62" s="6" t="s">
        <v>42</v>
      </c>
      <c r="E62" s="6" t="s">
        <v>68</v>
      </c>
      <c r="F62" s="6" t="s">
        <v>130</v>
      </c>
      <c r="G62" s="6" t="s">
        <v>113</v>
      </c>
      <c r="H62" s="7">
        <v>44574</v>
      </c>
      <c r="I62" s="7"/>
      <c r="J62" s="8">
        <v>426000</v>
      </c>
      <c r="K62" s="6">
        <v>4</v>
      </c>
      <c r="L62" s="7">
        <v>33747</v>
      </c>
    </row>
    <row r="63" spans="1:12" x14ac:dyDescent="0.35">
      <c r="A63" s="6">
        <v>1062</v>
      </c>
      <c r="B63" s="6" t="s">
        <v>131</v>
      </c>
      <c r="C63" s="6" t="s">
        <v>132</v>
      </c>
      <c r="D63" s="6" t="s">
        <v>36</v>
      </c>
      <c r="E63" s="6" t="s">
        <v>47</v>
      </c>
      <c r="F63" s="6" t="s">
        <v>48</v>
      </c>
      <c r="G63" s="6" t="s">
        <v>113</v>
      </c>
      <c r="H63" s="7">
        <v>44488</v>
      </c>
      <c r="I63" s="7"/>
      <c r="J63" s="8">
        <v>165000</v>
      </c>
      <c r="K63" s="6">
        <v>3</v>
      </c>
      <c r="L63" s="7">
        <v>30456</v>
      </c>
    </row>
    <row r="64" spans="1:12" x14ac:dyDescent="0.35">
      <c r="A64" s="6">
        <v>1063</v>
      </c>
      <c r="B64" s="6" t="s">
        <v>58</v>
      </c>
      <c r="C64" s="6" t="s">
        <v>59</v>
      </c>
      <c r="D64" s="6" t="s">
        <v>42</v>
      </c>
      <c r="E64" s="6" t="s">
        <v>79</v>
      </c>
      <c r="F64" s="6" t="s">
        <v>133</v>
      </c>
      <c r="G64" s="6" t="s">
        <v>33</v>
      </c>
      <c r="H64" s="7">
        <v>44644</v>
      </c>
      <c r="I64" s="7"/>
      <c r="J64" s="8">
        <v>504000</v>
      </c>
      <c r="K64" s="6">
        <v>2</v>
      </c>
      <c r="L64" s="7">
        <v>28586</v>
      </c>
    </row>
    <row r="65" spans="1:12" x14ac:dyDescent="0.35">
      <c r="A65" s="6">
        <v>1064</v>
      </c>
      <c r="B65" s="6" t="s">
        <v>55</v>
      </c>
      <c r="C65" s="6" t="s">
        <v>46</v>
      </c>
      <c r="D65" s="6" t="s">
        <v>42</v>
      </c>
      <c r="E65" s="6" t="s">
        <v>56</v>
      </c>
      <c r="F65" s="6" t="s">
        <v>57</v>
      </c>
      <c r="G65" s="6" t="s">
        <v>113</v>
      </c>
      <c r="H65" s="7">
        <v>45383</v>
      </c>
      <c r="I65" s="7"/>
      <c r="J65" s="8">
        <v>154000</v>
      </c>
      <c r="K65" s="6"/>
      <c r="L65" s="7">
        <v>28294</v>
      </c>
    </row>
    <row r="66" spans="1:12" x14ac:dyDescent="0.35">
      <c r="A66" s="6">
        <v>1065</v>
      </c>
      <c r="B66" s="6" t="s">
        <v>97</v>
      </c>
      <c r="C66" s="6" t="s">
        <v>93</v>
      </c>
      <c r="D66" s="6" t="s">
        <v>36</v>
      </c>
      <c r="E66" s="6" t="s">
        <v>134</v>
      </c>
      <c r="F66" s="6" t="s">
        <v>89</v>
      </c>
      <c r="G66" s="6" t="s">
        <v>44</v>
      </c>
      <c r="H66" s="7">
        <v>43658</v>
      </c>
      <c r="I66" s="7"/>
      <c r="J66" s="8">
        <v>133000</v>
      </c>
      <c r="K66" s="6">
        <v>1</v>
      </c>
      <c r="L66" s="7">
        <v>32000</v>
      </c>
    </row>
    <row r="67" spans="1:12" x14ac:dyDescent="0.35">
      <c r="A67" s="6">
        <v>1066</v>
      </c>
      <c r="B67" s="6" t="s">
        <v>81</v>
      </c>
      <c r="C67" s="6" t="s">
        <v>67</v>
      </c>
      <c r="D67" s="6" t="s">
        <v>36</v>
      </c>
      <c r="E67" s="6" t="s">
        <v>65</v>
      </c>
      <c r="F67" s="6" t="s">
        <v>66</v>
      </c>
      <c r="G67" s="6" t="s">
        <v>33</v>
      </c>
      <c r="H67" s="7">
        <v>42602</v>
      </c>
      <c r="I67" s="7">
        <v>45250</v>
      </c>
      <c r="J67" s="8">
        <v>215000</v>
      </c>
      <c r="K67" s="6">
        <v>4</v>
      </c>
      <c r="L67" s="7">
        <v>35419</v>
      </c>
    </row>
    <row r="68" spans="1:12" x14ac:dyDescent="0.35">
      <c r="A68" s="6">
        <v>1067</v>
      </c>
      <c r="B68" s="6" t="s">
        <v>135</v>
      </c>
      <c r="C68" s="6" t="s">
        <v>67</v>
      </c>
      <c r="D68" s="6" t="s">
        <v>30</v>
      </c>
      <c r="E68" s="6" t="s">
        <v>65</v>
      </c>
      <c r="F68" s="6" t="s">
        <v>66</v>
      </c>
      <c r="G68" s="6" t="s">
        <v>62</v>
      </c>
      <c r="H68" s="7">
        <v>43573</v>
      </c>
      <c r="I68" s="7"/>
      <c r="J68" s="8">
        <v>177000</v>
      </c>
      <c r="K68" s="6">
        <v>3</v>
      </c>
      <c r="L68" s="7">
        <v>28467</v>
      </c>
    </row>
    <row r="69" spans="1:12" x14ac:dyDescent="0.35">
      <c r="A69" s="6">
        <v>1068</v>
      </c>
      <c r="B69" s="6" t="s">
        <v>86</v>
      </c>
      <c r="C69" s="6" t="s">
        <v>136</v>
      </c>
      <c r="D69" s="6" t="s">
        <v>30</v>
      </c>
      <c r="E69" s="6" t="s">
        <v>37</v>
      </c>
      <c r="F69" s="6" t="s">
        <v>38</v>
      </c>
      <c r="G69" s="6" t="s">
        <v>113</v>
      </c>
      <c r="H69" s="7">
        <v>44018</v>
      </c>
      <c r="I69" s="7"/>
      <c r="J69" s="8">
        <v>122000</v>
      </c>
      <c r="K69" s="6">
        <v>4</v>
      </c>
      <c r="L69" s="7">
        <v>34672</v>
      </c>
    </row>
    <row r="70" spans="1:12" x14ac:dyDescent="0.35">
      <c r="A70" s="6">
        <v>1069</v>
      </c>
      <c r="B70" s="6" t="s">
        <v>137</v>
      </c>
      <c r="C70" s="6" t="s">
        <v>70</v>
      </c>
      <c r="D70" s="6" t="s">
        <v>42</v>
      </c>
      <c r="E70" s="6" t="s">
        <v>79</v>
      </c>
      <c r="F70" s="6" t="s">
        <v>32</v>
      </c>
      <c r="G70" s="6" t="s">
        <v>33</v>
      </c>
      <c r="H70" s="7">
        <v>44900</v>
      </c>
      <c r="I70" s="7"/>
      <c r="J70" s="8">
        <v>154000</v>
      </c>
      <c r="K70" s="6">
        <v>3</v>
      </c>
      <c r="L70" s="7">
        <v>30062</v>
      </c>
    </row>
    <row r="71" spans="1:12" x14ac:dyDescent="0.35">
      <c r="A71" s="6">
        <v>1070</v>
      </c>
      <c r="B71" s="6" t="s">
        <v>92</v>
      </c>
      <c r="C71" s="6" t="s">
        <v>29</v>
      </c>
      <c r="D71" s="6" t="s">
        <v>30</v>
      </c>
      <c r="E71" s="6" t="s">
        <v>56</v>
      </c>
      <c r="F71" s="6" t="s">
        <v>120</v>
      </c>
      <c r="G71" s="6" t="s">
        <v>62</v>
      </c>
      <c r="H71" s="7">
        <v>43631</v>
      </c>
      <c r="I71" s="7">
        <v>45393</v>
      </c>
      <c r="J71" s="8">
        <v>131000</v>
      </c>
      <c r="K71" s="6">
        <v>3</v>
      </c>
      <c r="L71" s="7">
        <v>30546</v>
      </c>
    </row>
    <row r="72" spans="1:12" x14ac:dyDescent="0.35">
      <c r="A72" s="6">
        <v>1071</v>
      </c>
      <c r="B72" s="6" t="s">
        <v>138</v>
      </c>
      <c r="C72" s="6" t="s">
        <v>139</v>
      </c>
      <c r="D72" s="6" t="s">
        <v>42</v>
      </c>
      <c r="E72" s="6" t="s">
        <v>88</v>
      </c>
      <c r="F72" s="6" t="s">
        <v>89</v>
      </c>
      <c r="G72" s="6" t="s">
        <v>33</v>
      </c>
      <c r="H72" s="7">
        <v>44799</v>
      </c>
      <c r="I72" s="7"/>
      <c r="J72" s="8">
        <v>214000</v>
      </c>
      <c r="K72" s="6">
        <v>4</v>
      </c>
      <c r="L72" s="7">
        <v>31058</v>
      </c>
    </row>
    <row r="73" spans="1:12" x14ac:dyDescent="0.35">
      <c r="A73" s="6">
        <v>1072</v>
      </c>
      <c r="B73" s="6" t="s">
        <v>140</v>
      </c>
      <c r="C73" s="6" t="s">
        <v>93</v>
      </c>
      <c r="D73" s="6" t="s">
        <v>36</v>
      </c>
      <c r="E73" s="6" t="s">
        <v>37</v>
      </c>
      <c r="F73" s="6" t="s">
        <v>38</v>
      </c>
      <c r="G73" s="6" t="s">
        <v>62</v>
      </c>
      <c r="H73" s="7">
        <v>43181</v>
      </c>
      <c r="I73" s="7"/>
      <c r="J73" s="8">
        <v>151000</v>
      </c>
      <c r="K73" s="6">
        <v>5</v>
      </c>
      <c r="L73" s="7">
        <v>34106</v>
      </c>
    </row>
    <row r="74" spans="1:12" x14ac:dyDescent="0.35">
      <c r="A74" s="6">
        <v>1073</v>
      </c>
      <c r="B74" s="6" t="s">
        <v>141</v>
      </c>
      <c r="C74" s="6" t="s">
        <v>29</v>
      </c>
      <c r="D74" s="6" t="s">
        <v>36</v>
      </c>
      <c r="E74" s="6" t="s">
        <v>79</v>
      </c>
      <c r="F74" s="6" t="s">
        <v>80</v>
      </c>
      <c r="G74" s="6" t="s">
        <v>44</v>
      </c>
      <c r="H74" s="7">
        <v>43368</v>
      </c>
      <c r="I74" s="7"/>
      <c r="J74" s="8">
        <v>175000</v>
      </c>
      <c r="K74" s="6">
        <v>4</v>
      </c>
      <c r="L74" s="7">
        <v>30703</v>
      </c>
    </row>
    <row r="75" spans="1:12" x14ac:dyDescent="0.35">
      <c r="A75" s="6">
        <v>1074</v>
      </c>
      <c r="B75" s="6" t="s">
        <v>78</v>
      </c>
      <c r="C75" s="6" t="s">
        <v>142</v>
      </c>
      <c r="D75" s="6" t="s">
        <v>36</v>
      </c>
      <c r="E75" s="6" t="s">
        <v>56</v>
      </c>
      <c r="F75" s="6" t="s">
        <v>143</v>
      </c>
      <c r="G75" s="6" t="s">
        <v>44</v>
      </c>
      <c r="H75" s="7">
        <v>45472</v>
      </c>
      <c r="I75" s="7"/>
      <c r="J75" s="8">
        <v>262000</v>
      </c>
      <c r="K75" s="6">
        <v>4</v>
      </c>
      <c r="L75" s="7">
        <v>32514</v>
      </c>
    </row>
    <row r="76" spans="1:12" x14ac:dyDescent="0.35">
      <c r="A76" s="6">
        <v>1075</v>
      </c>
      <c r="B76" s="6" t="s">
        <v>144</v>
      </c>
      <c r="C76" s="6" t="s">
        <v>108</v>
      </c>
      <c r="D76" s="6" t="s">
        <v>54</v>
      </c>
      <c r="E76" s="6" t="s">
        <v>56</v>
      </c>
      <c r="F76" s="6" t="s">
        <v>145</v>
      </c>
      <c r="G76" s="6" t="s">
        <v>39</v>
      </c>
      <c r="H76" s="7">
        <v>42586</v>
      </c>
      <c r="I76" s="7"/>
      <c r="J76" s="8">
        <v>432000</v>
      </c>
      <c r="K76" s="6">
        <v>1</v>
      </c>
      <c r="L76" s="7">
        <v>34874</v>
      </c>
    </row>
    <row r="77" spans="1:12" x14ac:dyDescent="0.35">
      <c r="A77" s="6">
        <v>1076</v>
      </c>
      <c r="B77" s="6" t="s">
        <v>76</v>
      </c>
      <c r="C77" s="6" t="s">
        <v>87</v>
      </c>
      <c r="D77" s="6" t="s">
        <v>36</v>
      </c>
      <c r="E77" s="6" t="s">
        <v>51</v>
      </c>
      <c r="F77" s="6" t="s">
        <v>52</v>
      </c>
      <c r="G77" s="6" t="s">
        <v>44</v>
      </c>
      <c r="H77" s="7">
        <v>44137</v>
      </c>
      <c r="I77" s="7"/>
      <c r="J77" s="8">
        <v>201000</v>
      </c>
      <c r="K77" s="6">
        <v>4</v>
      </c>
      <c r="L77" s="7">
        <v>28831</v>
      </c>
    </row>
    <row r="78" spans="1:12" x14ac:dyDescent="0.35">
      <c r="A78" s="6">
        <v>1077</v>
      </c>
      <c r="B78" s="6" t="s">
        <v>78</v>
      </c>
      <c r="C78" s="6" t="s">
        <v>60</v>
      </c>
      <c r="D78" s="6" t="s">
        <v>54</v>
      </c>
      <c r="E78" s="6" t="s">
        <v>51</v>
      </c>
      <c r="F78" s="6" t="s">
        <v>52</v>
      </c>
      <c r="G78" s="6" t="s">
        <v>39</v>
      </c>
      <c r="H78" s="7">
        <v>43880</v>
      </c>
      <c r="I78" s="7"/>
      <c r="J78" s="8">
        <v>114000</v>
      </c>
      <c r="K78" s="6">
        <v>3</v>
      </c>
      <c r="L78" s="7">
        <v>32497</v>
      </c>
    </row>
    <row r="79" spans="1:12" x14ac:dyDescent="0.35">
      <c r="A79" s="6">
        <v>1078</v>
      </c>
      <c r="B79" s="6" t="s">
        <v>73</v>
      </c>
      <c r="C79" s="6" t="s">
        <v>124</v>
      </c>
      <c r="D79" s="6" t="s">
        <v>36</v>
      </c>
      <c r="E79" s="6" t="s">
        <v>88</v>
      </c>
      <c r="F79" s="6" t="s">
        <v>89</v>
      </c>
      <c r="G79" s="6" t="s">
        <v>39</v>
      </c>
      <c r="H79" s="7">
        <v>45618</v>
      </c>
      <c r="I79" s="7">
        <v>46022</v>
      </c>
      <c r="J79" s="8">
        <v>165000</v>
      </c>
      <c r="K79" s="6">
        <v>3</v>
      </c>
      <c r="L79" s="7">
        <v>36840</v>
      </c>
    </row>
    <row r="80" spans="1:12" x14ac:dyDescent="0.35">
      <c r="A80" s="6">
        <v>1079</v>
      </c>
      <c r="B80" s="6" t="s">
        <v>146</v>
      </c>
      <c r="C80" s="6" t="s">
        <v>46</v>
      </c>
      <c r="D80" s="6" t="s">
        <v>30</v>
      </c>
      <c r="E80" s="6" t="s">
        <v>88</v>
      </c>
      <c r="F80" s="6" t="s">
        <v>89</v>
      </c>
      <c r="G80" s="6" t="s">
        <v>44</v>
      </c>
      <c r="H80" s="7">
        <v>42923</v>
      </c>
      <c r="I80" s="7"/>
      <c r="J80" s="8">
        <v>191000</v>
      </c>
      <c r="K80" s="6">
        <v>4</v>
      </c>
      <c r="L80" s="7">
        <v>30974</v>
      </c>
    </row>
    <row r="81" spans="1:12" x14ac:dyDescent="0.35">
      <c r="A81" s="6">
        <v>1080</v>
      </c>
      <c r="B81" s="6" t="s">
        <v>115</v>
      </c>
      <c r="C81" s="6" t="s">
        <v>118</v>
      </c>
      <c r="D81" s="6" t="s">
        <v>42</v>
      </c>
      <c r="E81" s="6" t="s">
        <v>37</v>
      </c>
      <c r="F81" s="6" t="s">
        <v>38</v>
      </c>
      <c r="G81" s="6" t="s">
        <v>62</v>
      </c>
      <c r="H81" s="7">
        <v>44883</v>
      </c>
      <c r="I81" s="7"/>
      <c r="J81" s="8">
        <v>145000</v>
      </c>
      <c r="K81" s="6">
        <v>3</v>
      </c>
      <c r="L81" s="7">
        <v>27628</v>
      </c>
    </row>
    <row r="82" spans="1:12" x14ac:dyDescent="0.35">
      <c r="A82" s="6">
        <v>1081</v>
      </c>
      <c r="B82" s="6" t="s">
        <v>146</v>
      </c>
      <c r="C82" s="6" t="s">
        <v>108</v>
      </c>
      <c r="D82" s="6" t="s">
        <v>42</v>
      </c>
      <c r="E82" s="6" t="s">
        <v>51</v>
      </c>
      <c r="F82" s="6" t="s">
        <v>52</v>
      </c>
      <c r="G82" s="6" t="s">
        <v>33</v>
      </c>
      <c r="H82" s="7">
        <v>43107</v>
      </c>
      <c r="I82" s="7"/>
      <c r="J82" s="8">
        <v>123000</v>
      </c>
      <c r="K82" s="6">
        <v>3</v>
      </c>
      <c r="L82" s="7">
        <v>34988</v>
      </c>
    </row>
    <row r="83" spans="1:12" x14ac:dyDescent="0.35">
      <c r="A83" s="6">
        <v>1082</v>
      </c>
      <c r="B83" s="6" t="s">
        <v>147</v>
      </c>
      <c r="C83" s="6" t="s">
        <v>122</v>
      </c>
      <c r="D83" s="6" t="s">
        <v>42</v>
      </c>
      <c r="E83" s="6" t="s">
        <v>47</v>
      </c>
      <c r="F83" s="6" t="s">
        <v>126</v>
      </c>
      <c r="G83" s="6" t="s">
        <v>113</v>
      </c>
      <c r="H83" s="7">
        <v>43732</v>
      </c>
      <c r="I83" s="7"/>
      <c r="J83" s="8">
        <v>242000</v>
      </c>
      <c r="K83" s="6">
        <v>4</v>
      </c>
      <c r="L83" s="7">
        <v>33106</v>
      </c>
    </row>
    <row r="84" spans="1:12" x14ac:dyDescent="0.35">
      <c r="A84" s="6">
        <v>1083</v>
      </c>
      <c r="B84" s="6" t="s">
        <v>58</v>
      </c>
      <c r="C84" s="6" t="s">
        <v>118</v>
      </c>
      <c r="D84" s="6" t="s">
        <v>42</v>
      </c>
      <c r="E84" s="6" t="s">
        <v>68</v>
      </c>
      <c r="F84" s="6" t="s">
        <v>85</v>
      </c>
      <c r="G84" s="6" t="s">
        <v>39</v>
      </c>
      <c r="H84" s="7">
        <v>42521</v>
      </c>
      <c r="I84" s="7"/>
      <c r="J84" s="8">
        <v>202000</v>
      </c>
      <c r="K84" s="6">
        <v>3</v>
      </c>
      <c r="L84" s="7">
        <v>29008</v>
      </c>
    </row>
    <row r="85" spans="1:12" x14ac:dyDescent="0.35">
      <c r="A85" s="6">
        <v>1084</v>
      </c>
      <c r="B85" s="6" t="s">
        <v>111</v>
      </c>
      <c r="C85" s="6" t="s">
        <v>46</v>
      </c>
      <c r="D85" s="6" t="s">
        <v>42</v>
      </c>
      <c r="E85" s="6" t="s">
        <v>68</v>
      </c>
      <c r="F85" s="6" t="s">
        <v>105</v>
      </c>
      <c r="G85" s="6" t="s">
        <v>33</v>
      </c>
      <c r="H85" s="7">
        <v>42700</v>
      </c>
      <c r="I85" s="7"/>
      <c r="J85" s="8">
        <v>272000</v>
      </c>
      <c r="K85" s="6">
        <v>3</v>
      </c>
      <c r="L85" s="7">
        <v>33909</v>
      </c>
    </row>
    <row r="86" spans="1:12" x14ac:dyDescent="0.35">
      <c r="A86" s="6">
        <v>1085</v>
      </c>
      <c r="B86" s="6" t="s">
        <v>40</v>
      </c>
      <c r="C86" s="6" t="s">
        <v>63</v>
      </c>
      <c r="D86" s="6" t="s">
        <v>42</v>
      </c>
      <c r="E86" s="6" t="s">
        <v>88</v>
      </c>
      <c r="F86" s="6" t="s">
        <v>89</v>
      </c>
      <c r="G86" s="6" t="s">
        <v>33</v>
      </c>
      <c r="H86" s="7">
        <v>44688</v>
      </c>
      <c r="I86" s="7">
        <v>45985</v>
      </c>
      <c r="J86" s="8">
        <v>139000</v>
      </c>
      <c r="K86" s="6">
        <v>4</v>
      </c>
      <c r="L86" s="7">
        <v>36947</v>
      </c>
    </row>
    <row r="87" spans="1:12" x14ac:dyDescent="0.35">
      <c r="A87" s="6">
        <v>1086</v>
      </c>
      <c r="B87" s="6" t="s">
        <v>103</v>
      </c>
      <c r="C87" s="6" t="s">
        <v>87</v>
      </c>
      <c r="D87" s="6" t="s">
        <v>54</v>
      </c>
      <c r="E87" s="6" t="s">
        <v>47</v>
      </c>
      <c r="F87" s="6" t="s">
        <v>101</v>
      </c>
      <c r="G87" s="6" t="s">
        <v>39</v>
      </c>
      <c r="H87" s="7">
        <v>44694</v>
      </c>
      <c r="I87" s="7"/>
      <c r="J87" s="8">
        <v>130000</v>
      </c>
      <c r="K87" s="6">
        <v>3</v>
      </c>
      <c r="L87" s="7">
        <v>32392</v>
      </c>
    </row>
    <row r="88" spans="1:12" x14ac:dyDescent="0.35">
      <c r="A88" s="6">
        <v>1087</v>
      </c>
      <c r="B88" s="6" t="s">
        <v>148</v>
      </c>
      <c r="C88" s="6" t="s">
        <v>149</v>
      </c>
      <c r="D88" s="6" t="s">
        <v>36</v>
      </c>
      <c r="E88" s="6" t="s">
        <v>47</v>
      </c>
      <c r="F88" s="6" t="s">
        <v>101</v>
      </c>
      <c r="G88" s="6" t="s">
        <v>33</v>
      </c>
      <c r="H88" s="7">
        <v>45768</v>
      </c>
      <c r="I88" s="7"/>
      <c r="J88" s="8">
        <v>154000</v>
      </c>
      <c r="K88" s="6">
        <v>3</v>
      </c>
      <c r="L88" s="7">
        <v>35396</v>
      </c>
    </row>
    <row r="89" spans="1:12" x14ac:dyDescent="0.35">
      <c r="A89" s="6">
        <v>1088</v>
      </c>
      <c r="B89" s="6" t="s">
        <v>109</v>
      </c>
      <c r="C89" s="6" t="s">
        <v>67</v>
      </c>
      <c r="D89" s="6" t="s">
        <v>42</v>
      </c>
      <c r="E89" s="6" t="s">
        <v>79</v>
      </c>
      <c r="F89" s="6" t="s">
        <v>80</v>
      </c>
      <c r="G89" s="6" t="s">
        <v>33</v>
      </c>
      <c r="H89" s="7">
        <v>43510</v>
      </c>
      <c r="I89" s="7"/>
      <c r="J89" s="8">
        <v>185000</v>
      </c>
      <c r="K89" s="6">
        <v>3</v>
      </c>
      <c r="L89" s="7">
        <v>34023</v>
      </c>
    </row>
    <row r="90" spans="1:12" x14ac:dyDescent="0.35">
      <c r="A90" s="6">
        <v>1089</v>
      </c>
      <c r="B90" s="6" t="s">
        <v>78</v>
      </c>
      <c r="C90" s="6" t="s">
        <v>136</v>
      </c>
      <c r="D90" s="6" t="s">
        <v>36</v>
      </c>
      <c r="E90" s="6" t="s">
        <v>79</v>
      </c>
      <c r="F90" s="6" t="s">
        <v>106</v>
      </c>
      <c r="G90" s="6" t="s">
        <v>39</v>
      </c>
      <c r="H90" s="7">
        <v>44245</v>
      </c>
      <c r="I90" s="7"/>
      <c r="J90" s="8">
        <v>292000</v>
      </c>
      <c r="K90" s="6">
        <v>3</v>
      </c>
      <c r="L90" s="7">
        <v>36652</v>
      </c>
    </row>
    <row r="91" spans="1:12" x14ac:dyDescent="0.35">
      <c r="A91" s="6">
        <v>1090</v>
      </c>
      <c r="B91" s="6" t="s">
        <v>128</v>
      </c>
      <c r="C91" s="6" t="s">
        <v>122</v>
      </c>
      <c r="D91" s="6" t="s">
        <v>42</v>
      </c>
      <c r="E91" s="6" t="s">
        <v>88</v>
      </c>
      <c r="F91" s="6" t="s">
        <v>150</v>
      </c>
      <c r="G91" s="6" t="s">
        <v>33</v>
      </c>
      <c r="H91" s="7">
        <v>43406</v>
      </c>
      <c r="I91" s="7"/>
      <c r="J91" s="8">
        <v>240000</v>
      </c>
      <c r="K91" s="6">
        <v>4</v>
      </c>
      <c r="L91" s="7">
        <v>30109</v>
      </c>
    </row>
    <row r="92" spans="1:12" x14ac:dyDescent="0.35">
      <c r="A92" s="6">
        <v>1091</v>
      </c>
      <c r="B92" s="6" t="s">
        <v>111</v>
      </c>
      <c r="C92" s="6" t="s">
        <v>46</v>
      </c>
      <c r="D92" s="6" t="s">
        <v>42</v>
      </c>
      <c r="E92" s="6" t="s">
        <v>79</v>
      </c>
      <c r="F92" s="6" t="s">
        <v>32</v>
      </c>
      <c r="G92" s="6" t="s">
        <v>33</v>
      </c>
      <c r="H92" s="7">
        <v>44649</v>
      </c>
      <c r="I92" s="7">
        <v>45602</v>
      </c>
      <c r="J92" s="8">
        <v>138000</v>
      </c>
      <c r="K92" s="6">
        <v>3</v>
      </c>
      <c r="L92" s="7">
        <v>36641</v>
      </c>
    </row>
    <row r="93" spans="1:12" x14ac:dyDescent="0.35">
      <c r="A93" s="6">
        <v>1092</v>
      </c>
      <c r="B93" s="6" t="s">
        <v>102</v>
      </c>
      <c r="C93" s="6" t="s">
        <v>63</v>
      </c>
      <c r="D93" s="6" t="s">
        <v>36</v>
      </c>
      <c r="E93" s="6" t="s">
        <v>151</v>
      </c>
      <c r="F93" s="6" t="s">
        <v>130</v>
      </c>
      <c r="G93" s="6" t="s">
        <v>33</v>
      </c>
      <c r="H93" s="7">
        <v>44063</v>
      </c>
      <c r="I93" s="7">
        <v>45108</v>
      </c>
      <c r="J93" s="8">
        <v>435000</v>
      </c>
      <c r="K93" s="6">
        <v>3</v>
      </c>
      <c r="L93" s="7">
        <v>30853</v>
      </c>
    </row>
    <row r="94" spans="1:12" x14ac:dyDescent="0.35">
      <c r="A94" s="6">
        <v>1093</v>
      </c>
      <c r="B94" s="6" t="s">
        <v>81</v>
      </c>
      <c r="C94" s="6" t="s">
        <v>67</v>
      </c>
      <c r="D94" s="6" t="s">
        <v>54</v>
      </c>
      <c r="E94" s="6" t="s">
        <v>88</v>
      </c>
      <c r="F94" s="6" t="s">
        <v>89</v>
      </c>
      <c r="G94" s="6" t="s">
        <v>33</v>
      </c>
      <c r="H94" s="7">
        <v>43603</v>
      </c>
      <c r="I94" s="7"/>
      <c r="J94" s="8">
        <v>133000</v>
      </c>
      <c r="K94" s="6">
        <v>4</v>
      </c>
      <c r="L94" s="7">
        <v>33463</v>
      </c>
    </row>
    <row r="95" spans="1:12" x14ac:dyDescent="0.35">
      <c r="A95" s="6">
        <v>1094</v>
      </c>
      <c r="B95" s="6" t="s">
        <v>111</v>
      </c>
      <c r="C95" s="6" t="s">
        <v>118</v>
      </c>
      <c r="D95" s="6" t="s">
        <v>42</v>
      </c>
      <c r="E95" s="6" t="s">
        <v>37</v>
      </c>
      <c r="F95" s="6" t="s">
        <v>43</v>
      </c>
      <c r="G95" s="6" t="s">
        <v>62</v>
      </c>
      <c r="H95" s="7">
        <v>42949</v>
      </c>
      <c r="I95" s="7"/>
      <c r="J95" s="8">
        <v>160000</v>
      </c>
      <c r="K95" s="6">
        <v>4</v>
      </c>
      <c r="L95" s="7">
        <v>27651</v>
      </c>
    </row>
    <row r="96" spans="1:12" x14ac:dyDescent="0.35">
      <c r="A96" s="6">
        <v>1095</v>
      </c>
      <c r="B96" s="6" t="s">
        <v>146</v>
      </c>
      <c r="C96" s="6" t="s">
        <v>91</v>
      </c>
      <c r="D96" s="6" t="s">
        <v>42</v>
      </c>
      <c r="E96" s="6" t="s">
        <v>51</v>
      </c>
      <c r="F96" s="6" t="s">
        <v>52</v>
      </c>
      <c r="G96" s="6" t="s">
        <v>113</v>
      </c>
      <c r="H96" s="7">
        <v>44711</v>
      </c>
      <c r="I96" s="7"/>
      <c r="J96" s="8">
        <v>155000</v>
      </c>
      <c r="K96" s="6">
        <v>2</v>
      </c>
      <c r="L96" s="7">
        <v>30004</v>
      </c>
    </row>
    <row r="97" spans="1:12" x14ac:dyDescent="0.35">
      <c r="A97" s="6">
        <v>1096</v>
      </c>
      <c r="B97" s="6" t="s">
        <v>78</v>
      </c>
      <c r="C97" s="6" t="s">
        <v>104</v>
      </c>
      <c r="D97" s="6" t="s">
        <v>36</v>
      </c>
      <c r="E97" s="6" t="s">
        <v>47</v>
      </c>
      <c r="F97" s="6" t="s">
        <v>48</v>
      </c>
      <c r="G97" s="6" t="s">
        <v>113</v>
      </c>
      <c r="H97" s="7">
        <v>44666</v>
      </c>
      <c r="I97" s="7"/>
      <c r="J97" s="8">
        <v>179000</v>
      </c>
      <c r="K97" s="6">
        <v>5</v>
      </c>
      <c r="L97" s="7">
        <v>29906</v>
      </c>
    </row>
    <row r="98" spans="1:12" x14ac:dyDescent="0.35">
      <c r="A98" s="6">
        <v>1097</v>
      </c>
      <c r="B98" s="6" t="s">
        <v>144</v>
      </c>
      <c r="C98" s="6" t="s">
        <v>70</v>
      </c>
      <c r="D98" s="6" t="s">
        <v>36</v>
      </c>
      <c r="E98" s="6" t="s">
        <v>51</v>
      </c>
      <c r="F98" s="6" t="s">
        <v>52</v>
      </c>
      <c r="G98" s="6" t="s">
        <v>44</v>
      </c>
      <c r="H98" s="7">
        <v>45102</v>
      </c>
      <c r="I98" s="7"/>
      <c r="J98" s="8">
        <v>166000</v>
      </c>
      <c r="K98" s="6">
        <v>3</v>
      </c>
      <c r="L98" s="7">
        <v>31520</v>
      </c>
    </row>
    <row r="99" spans="1:12" x14ac:dyDescent="0.35">
      <c r="A99" s="6">
        <v>1098</v>
      </c>
      <c r="B99" s="6" t="s">
        <v>152</v>
      </c>
      <c r="C99" s="6" t="s">
        <v>67</v>
      </c>
      <c r="D99" s="6" t="s">
        <v>36</v>
      </c>
      <c r="E99" s="6" t="s">
        <v>56</v>
      </c>
      <c r="F99" s="6" t="s">
        <v>57</v>
      </c>
      <c r="G99" s="6" t="s">
        <v>33</v>
      </c>
      <c r="H99" s="7">
        <v>44596</v>
      </c>
      <c r="I99" s="7"/>
      <c r="J99" s="8">
        <v>207000</v>
      </c>
      <c r="K99" s="6">
        <v>3</v>
      </c>
      <c r="L99" s="7">
        <v>33620</v>
      </c>
    </row>
    <row r="100" spans="1:12" x14ac:dyDescent="0.35">
      <c r="A100" s="6">
        <v>1099</v>
      </c>
      <c r="B100" s="6" t="s">
        <v>95</v>
      </c>
      <c r="C100" s="6" t="s">
        <v>67</v>
      </c>
      <c r="D100" s="6" t="s">
        <v>30</v>
      </c>
      <c r="E100" s="6" t="s">
        <v>88</v>
      </c>
      <c r="F100" s="6" t="s">
        <v>89</v>
      </c>
      <c r="G100" s="6" t="s">
        <v>44</v>
      </c>
      <c r="H100" s="7">
        <v>42862</v>
      </c>
      <c r="I100" s="7"/>
      <c r="J100" s="8">
        <v>145000</v>
      </c>
      <c r="K100" s="6">
        <v>4</v>
      </c>
      <c r="L100" s="7">
        <v>32690</v>
      </c>
    </row>
    <row r="101" spans="1:12" x14ac:dyDescent="0.35">
      <c r="A101" s="6">
        <v>1100</v>
      </c>
      <c r="B101" s="6" t="s">
        <v>103</v>
      </c>
      <c r="C101" s="6" t="s">
        <v>139</v>
      </c>
      <c r="D101" s="6" t="s">
        <v>36</v>
      </c>
      <c r="E101" s="6" t="s">
        <v>56</v>
      </c>
      <c r="F101" s="6" t="s">
        <v>120</v>
      </c>
      <c r="G101" s="6" t="s">
        <v>33</v>
      </c>
      <c r="H101" s="7">
        <v>44684</v>
      </c>
      <c r="I101" s="7">
        <v>45745</v>
      </c>
      <c r="J101" s="8">
        <v>176000</v>
      </c>
      <c r="K101" s="6">
        <v>4</v>
      </c>
      <c r="L101" s="7">
        <v>32746</v>
      </c>
    </row>
    <row r="102" spans="1:12" x14ac:dyDescent="0.35">
      <c r="A102" s="6">
        <v>1101</v>
      </c>
      <c r="B102" s="6" t="s">
        <v>116</v>
      </c>
      <c r="C102" s="6" t="s">
        <v>60</v>
      </c>
      <c r="D102" s="6" t="s">
        <v>36</v>
      </c>
      <c r="E102" s="6" t="s">
        <v>51</v>
      </c>
      <c r="F102" s="6" t="s">
        <v>153</v>
      </c>
      <c r="G102" s="6" t="s">
        <v>62</v>
      </c>
      <c r="H102" s="7">
        <v>45606</v>
      </c>
      <c r="I102" s="7"/>
      <c r="J102" s="8">
        <v>518000</v>
      </c>
      <c r="K102" s="6">
        <v>2</v>
      </c>
      <c r="L102" s="7">
        <v>31119</v>
      </c>
    </row>
    <row r="103" spans="1:12" x14ac:dyDescent="0.35">
      <c r="A103" s="6">
        <v>1102</v>
      </c>
      <c r="B103" s="6" t="s">
        <v>154</v>
      </c>
      <c r="C103" s="6" t="s">
        <v>50</v>
      </c>
      <c r="D103" s="6" t="s">
        <v>30</v>
      </c>
      <c r="E103" s="6" t="s">
        <v>79</v>
      </c>
      <c r="F103" s="6" t="s">
        <v>80</v>
      </c>
      <c r="G103" s="6" t="s">
        <v>44</v>
      </c>
      <c r="H103" s="7">
        <v>43019</v>
      </c>
      <c r="I103" s="7"/>
      <c r="J103" s="8">
        <v>184000</v>
      </c>
      <c r="K103" s="6">
        <v>3</v>
      </c>
      <c r="L103" s="7">
        <v>35052</v>
      </c>
    </row>
    <row r="104" spans="1:12" x14ac:dyDescent="0.35">
      <c r="A104" s="6">
        <v>1103</v>
      </c>
      <c r="B104" s="6" t="s">
        <v>90</v>
      </c>
      <c r="C104" s="6" t="s">
        <v>155</v>
      </c>
      <c r="D104" s="6" t="s">
        <v>42</v>
      </c>
      <c r="E104" s="6" t="s">
        <v>47</v>
      </c>
      <c r="F104" s="6" t="s">
        <v>126</v>
      </c>
      <c r="G104" s="6" t="s">
        <v>33</v>
      </c>
      <c r="H104" s="7">
        <v>42873</v>
      </c>
      <c r="I104" s="7">
        <v>45787</v>
      </c>
      <c r="J104" s="8">
        <v>286000</v>
      </c>
      <c r="K104" s="6">
        <v>5</v>
      </c>
      <c r="L104" s="7">
        <v>30509</v>
      </c>
    </row>
    <row r="105" spans="1:12" x14ac:dyDescent="0.35">
      <c r="A105" s="6">
        <v>1104</v>
      </c>
      <c r="B105" s="6" t="s">
        <v>109</v>
      </c>
      <c r="C105" s="6" t="s">
        <v>50</v>
      </c>
      <c r="D105" s="6" t="s">
        <v>42</v>
      </c>
      <c r="E105" s="6" t="s">
        <v>37</v>
      </c>
      <c r="F105" s="6" t="s">
        <v>38</v>
      </c>
      <c r="G105" s="6" t="s">
        <v>33</v>
      </c>
      <c r="H105" s="7">
        <v>45001</v>
      </c>
      <c r="I105" s="7"/>
      <c r="J105" s="8">
        <v>120000</v>
      </c>
      <c r="K105" s="6">
        <v>4</v>
      </c>
      <c r="L105" s="7">
        <v>37167</v>
      </c>
    </row>
    <row r="106" spans="1:12" x14ac:dyDescent="0.35">
      <c r="A106" s="6">
        <v>1105</v>
      </c>
      <c r="B106" s="6" t="s">
        <v>137</v>
      </c>
      <c r="C106" s="6" t="s">
        <v>156</v>
      </c>
      <c r="D106" s="6" t="s">
        <v>42</v>
      </c>
      <c r="E106" s="6" t="s">
        <v>157</v>
      </c>
      <c r="F106" s="6" t="s">
        <v>89</v>
      </c>
      <c r="G106" s="6" t="s">
        <v>62</v>
      </c>
      <c r="H106" s="7">
        <v>42553</v>
      </c>
      <c r="I106" s="7"/>
      <c r="J106" s="8">
        <v>201000</v>
      </c>
      <c r="K106" s="6">
        <v>5</v>
      </c>
      <c r="L106" s="7">
        <v>37086</v>
      </c>
    </row>
    <row r="107" spans="1:12" x14ac:dyDescent="0.35">
      <c r="A107" s="6">
        <v>1106</v>
      </c>
      <c r="B107" s="6" t="s">
        <v>158</v>
      </c>
      <c r="C107" s="6" t="s">
        <v>46</v>
      </c>
      <c r="D107" s="6" t="s">
        <v>42</v>
      </c>
      <c r="E107" s="6" t="s">
        <v>88</v>
      </c>
      <c r="F107" s="6" t="s">
        <v>150</v>
      </c>
      <c r="G107" s="6" t="s">
        <v>44</v>
      </c>
      <c r="H107" s="7">
        <v>44496</v>
      </c>
      <c r="I107" s="7"/>
      <c r="J107" s="8">
        <v>308000</v>
      </c>
      <c r="K107" s="6">
        <v>3</v>
      </c>
      <c r="L107" s="7">
        <v>32256</v>
      </c>
    </row>
    <row r="108" spans="1:12" x14ac:dyDescent="0.35">
      <c r="A108" s="6">
        <v>1107</v>
      </c>
      <c r="B108" s="6" t="s">
        <v>76</v>
      </c>
      <c r="C108" s="6" t="s">
        <v>63</v>
      </c>
      <c r="D108" s="6" t="s">
        <v>36</v>
      </c>
      <c r="E108" s="6" t="s">
        <v>79</v>
      </c>
      <c r="F108" s="6" t="s">
        <v>106</v>
      </c>
      <c r="G108" s="6" t="s">
        <v>33</v>
      </c>
      <c r="H108" s="7">
        <v>43651</v>
      </c>
      <c r="I108" s="7"/>
      <c r="J108" s="8">
        <v>254000</v>
      </c>
      <c r="K108" s="6">
        <v>3</v>
      </c>
      <c r="L108" s="7">
        <v>34509</v>
      </c>
    </row>
    <row r="109" spans="1:12" x14ac:dyDescent="0.35">
      <c r="A109" s="6">
        <v>1108</v>
      </c>
      <c r="B109" s="6" t="s">
        <v>109</v>
      </c>
      <c r="C109" s="6" t="s">
        <v>50</v>
      </c>
      <c r="D109" s="6" t="s">
        <v>42</v>
      </c>
      <c r="E109" s="6" t="s">
        <v>88</v>
      </c>
      <c r="F109" s="6" t="s">
        <v>89</v>
      </c>
      <c r="G109" s="6" t="s">
        <v>33</v>
      </c>
      <c r="H109" s="7">
        <v>45156</v>
      </c>
      <c r="I109" s="7"/>
      <c r="J109" s="8">
        <v>144000</v>
      </c>
      <c r="K109" s="6">
        <v>3</v>
      </c>
      <c r="L109" s="7">
        <v>31425</v>
      </c>
    </row>
    <row r="110" spans="1:12" x14ac:dyDescent="0.35">
      <c r="A110" s="6">
        <v>1109</v>
      </c>
      <c r="B110" s="6" t="s">
        <v>86</v>
      </c>
      <c r="C110" s="6" t="s">
        <v>41</v>
      </c>
      <c r="D110" s="6" t="s">
        <v>30</v>
      </c>
      <c r="E110" s="6" t="s">
        <v>65</v>
      </c>
      <c r="F110" s="6" t="s">
        <v>159</v>
      </c>
      <c r="G110" s="6" t="s">
        <v>33</v>
      </c>
      <c r="H110" s="7">
        <v>45524</v>
      </c>
      <c r="I110" s="7"/>
      <c r="J110" s="8">
        <v>260000</v>
      </c>
      <c r="K110" s="6">
        <v>3</v>
      </c>
      <c r="L110" s="7">
        <v>35008</v>
      </c>
    </row>
    <row r="111" spans="1:12" x14ac:dyDescent="0.35">
      <c r="A111" s="6">
        <v>1110</v>
      </c>
      <c r="B111" s="6" t="s">
        <v>115</v>
      </c>
      <c r="C111" s="6" t="s">
        <v>77</v>
      </c>
      <c r="D111" s="6" t="s">
        <v>30</v>
      </c>
      <c r="E111" s="6" t="s">
        <v>88</v>
      </c>
      <c r="F111" s="6" t="s">
        <v>89</v>
      </c>
      <c r="G111" s="6" t="s">
        <v>33</v>
      </c>
      <c r="H111" s="7">
        <v>45626</v>
      </c>
      <c r="I111" s="7"/>
      <c r="J111" s="8">
        <v>223000</v>
      </c>
      <c r="K111" s="6">
        <v>4</v>
      </c>
      <c r="L111" s="7">
        <v>34074</v>
      </c>
    </row>
    <row r="112" spans="1:12" x14ac:dyDescent="0.35">
      <c r="A112" s="6">
        <v>1111</v>
      </c>
      <c r="B112" s="6" t="s">
        <v>45</v>
      </c>
      <c r="C112" s="6" t="s">
        <v>149</v>
      </c>
      <c r="D112" s="6" t="s">
        <v>30</v>
      </c>
      <c r="E112" s="6" t="s">
        <v>37</v>
      </c>
      <c r="F112" s="6" t="s">
        <v>38</v>
      </c>
      <c r="G112" s="6" t="s">
        <v>33</v>
      </c>
      <c r="H112" s="7">
        <v>43018</v>
      </c>
      <c r="I112" s="7"/>
      <c r="J112" s="8">
        <v>132000</v>
      </c>
      <c r="K112" s="6">
        <v>3</v>
      </c>
      <c r="L112" s="7">
        <v>27679</v>
      </c>
    </row>
    <row r="113" spans="1:12" x14ac:dyDescent="0.35">
      <c r="A113" s="6">
        <v>1112</v>
      </c>
      <c r="B113" s="6" t="s">
        <v>116</v>
      </c>
      <c r="C113" s="6" t="s">
        <v>139</v>
      </c>
      <c r="D113" s="6" t="s">
        <v>36</v>
      </c>
      <c r="E113" s="6" t="s">
        <v>51</v>
      </c>
      <c r="F113" s="6" t="s">
        <v>61</v>
      </c>
      <c r="G113" s="6" t="s">
        <v>33</v>
      </c>
      <c r="H113" s="7">
        <v>42566</v>
      </c>
      <c r="I113" s="7"/>
      <c r="J113" s="8">
        <v>299000</v>
      </c>
      <c r="K113" s="6">
        <v>4</v>
      </c>
      <c r="L113" s="7">
        <v>31275</v>
      </c>
    </row>
    <row r="114" spans="1:12" x14ac:dyDescent="0.35">
      <c r="A114" s="6">
        <v>1113</v>
      </c>
      <c r="B114" s="6" t="s">
        <v>154</v>
      </c>
      <c r="C114" s="6" t="s">
        <v>108</v>
      </c>
      <c r="D114" s="6" t="s">
        <v>42</v>
      </c>
      <c r="E114" s="6" t="s">
        <v>88</v>
      </c>
      <c r="F114" s="6" t="s">
        <v>89</v>
      </c>
      <c r="G114" s="6" t="s">
        <v>44</v>
      </c>
      <c r="H114" s="7">
        <v>43126</v>
      </c>
      <c r="I114" s="7"/>
      <c r="J114" s="8">
        <v>198000</v>
      </c>
      <c r="K114" s="6">
        <v>4</v>
      </c>
      <c r="L114" s="7">
        <v>30519</v>
      </c>
    </row>
    <row r="115" spans="1:12" x14ac:dyDescent="0.35">
      <c r="A115" s="6">
        <v>1114</v>
      </c>
      <c r="B115" s="6" t="s">
        <v>97</v>
      </c>
      <c r="C115" s="6" t="s">
        <v>70</v>
      </c>
      <c r="D115" s="6" t="s">
        <v>54</v>
      </c>
      <c r="E115" s="6" t="s">
        <v>79</v>
      </c>
      <c r="F115" s="6" t="s">
        <v>32</v>
      </c>
      <c r="G115" s="6" t="s">
        <v>62</v>
      </c>
      <c r="H115" s="7">
        <v>43569</v>
      </c>
      <c r="I115" s="7"/>
      <c r="J115" s="8">
        <v>149000</v>
      </c>
      <c r="K115" s="6"/>
      <c r="L115" s="7">
        <v>30824</v>
      </c>
    </row>
    <row r="116" spans="1:12" x14ac:dyDescent="0.35">
      <c r="A116" s="6">
        <v>1115</v>
      </c>
      <c r="B116" s="6" t="s">
        <v>115</v>
      </c>
      <c r="C116" s="6" t="s">
        <v>122</v>
      </c>
      <c r="D116" s="6" t="s">
        <v>42</v>
      </c>
      <c r="E116" s="6" t="s">
        <v>88</v>
      </c>
      <c r="F116" s="6" t="s">
        <v>89</v>
      </c>
      <c r="G116" s="6" t="s">
        <v>33</v>
      </c>
      <c r="H116" s="7">
        <v>44122</v>
      </c>
      <c r="I116" s="7"/>
      <c r="J116" s="8">
        <v>222000</v>
      </c>
      <c r="K116" s="6">
        <v>3</v>
      </c>
      <c r="L116" s="7">
        <v>30128</v>
      </c>
    </row>
    <row r="117" spans="1:12" x14ac:dyDescent="0.35">
      <c r="A117" s="6">
        <v>1116</v>
      </c>
      <c r="B117" s="6" t="s">
        <v>109</v>
      </c>
      <c r="C117" s="6" t="s">
        <v>160</v>
      </c>
      <c r="D117" s="6" t="s">
        <v>42</v>
      </c>
      <c r="E117" s="6" t="s">
        <v>56</v>
      </c>
      <c r="F117" s="6" t="s">
        <v>120</v>
      </c>
      <c r="G117" s="6" t="s">
        <v>33</v>
      </c>
      <c r="H117" s="7">
        <v>43557</v>
      </c>
      <c r="I117" s="7"/>
      <c r="J117" s="8">
        <v>117000</v>
      </c>
      <c r="K117" s="6">
        <v>3</v>
      </c>
      <c r="L117" s="7">
        <v>30147</v>
      </c>
    </row>
    <row r="118" spans="1:12" x14ac:dyDescent="0.35">
      <c r="A118" s="6">
        <v>1117</v>
      </c>
      <c r="B118" s="6" t="s">
        <v>161</v>
      </c>
      <c r="C118" s="6" t="s">
        <v>162</v>
      </c>
      <c r="D118" s="6" t="s">
        <v>42</v>
      </c>
      <c r="E118" s="6" t="s">
        <v>68</v>
      </c>
      <c r="F118" s="6" t="s">
        <v>69</v>
      </c>
      <c r="G118" s="6" t="s">
        <v>33</v>
      </c>
      <c r="H118" s="7">
        <v>45192</v>
      </c>
      <c r="I118" s="7">
        <v>45809</v>
      </c>
      <c r="J118" s="8">
        <v>124000</v>
      </c>
      <c r="K118" s="6">
        <v>3</v>
      </c>
      <c r="L118" s="7">
        <v>27557</v>
      </c>
    </row>
    <row r="119" spans="1:12" x14ac:dyDescent="0.35">
      <c r="A119" s="6">
        <v>1118</v>
      </c>
      <c r="B119" s="6" t="s">
        <v>49</v>
      </c>
      <c r="C119" s="6" t="s">
        <v>142</v>
      </c>
      <c r="D119" s="6" t="s">
        <v>42</v>
      </c>
      <c r="E119" s="6" t="s">
        <v>65</v>
      </c>
      <c r="F119" s="6" t="s">
        <v>84</v>
      </c>
      <c r="G119" s="6" t="s">
        <v>39</v>
      </c>
      <c r="H119" s="7">
        <v>43450</v>
      </c>
      <c r="I119" s="7"/>
      <c r="J119" s="8">
        <v>153000</v>
      </c>
      <c r="K119" s="6">
        <v>3</v>
      </c>
      <c r="L119" s="7">
        <v>32704</v>
      </c>
    </row>
    <row r="120" spans="1:12" x14ac:dyDescent="0.35">
      <c r="A120" s="6">
        <v>1119</v>
      </c>
      <c r="B120" s="6" t="s">
        <v>83</v>
      </c>
      <c r="C120" s="6" t="s">
        <v>118</v>
      </c>
      <c r="D120" s="6" t="s">
        <v>36</v>
      </c>
      <c r="E120" s="6" t="s">
        <v>37</v>
      </c>
      <c r="F120" s="6" t="s">
        <v>43</v>
      </c>
      <c r="G120" s="6" t="s">
        <v>39</v>
      </c>
      <c r="H120" s="7">
        <v>44540</v>
      </c>
      <c r="I120" s="7"/>
      <c r="J120" s="8">
        <v>224000</v>
      </c>
      <c r="K120" s="6">
        <v>2</v>
      </c>
      <c r="L120" s="7">
        <v>35103</v>
      </c>
    </row>
    <row r="121" spans="1:12" x14ac:dyDescent="0.35">
      <c r="A121" s="6">
        <v>1120</v>
      </c>
      <c r="B121" s="6" t="s">
        <v>97</v>
      </c>
      <c r="C121" s="6" t="s">
        <v>132</v>
      </c>
      <c r="D121" s="6" t="s">
        <v>36</v>
      </c>
      <c r="E121" s="6" t="s">
        <v>51</v>
      </c>
      <c r="F121" s="6" t="s">
        <v>52</v>
      </c>
      <c r="G121" s="6" t="s">
        <v>44</v>
      </c>
      <c r="H121" s="7">
        <v>43804</v>
      </c>
      <c r="I121" s="7">
        <v>45697</v>
      </c>
      <c r="J121" s="8">
        <v>165000</v>
      </c>
      <c r="K121" s="6">
        <v>3</v>
      </c>
      <c r="L121" s="7">
        <v>31230</v>
      </c>
    </row>
    <row r="122" spans="1:12" x14ac:dyDescent="0.35">
      <c r="A122" s="6">
        <v>1121</v>
      </c>
      <c r="B122" s="6" t="s">
        <v>55</v>
      </c>
      <c r="C122" s="6" t="s">
        <v>60</v>
      </c>
      <c r="D122" s="6" t="s">
        <v>42</v>
      </c>
      <c r="E122" s="6" t="s">
        <v>56</v>
      </c>
      <c r="F122" s="6" t="s">
        <v>143</v>
      </c>
      <c r="G122" s="6" t="s">
        <v>62</v>
      </c>
      <c r="H122" s="7">
        <v>43001</v>
      </c>
      <c r="I122" s="7"/>
      <c r="J122" s="8">
        <v>308000</v>
      </c>
      <c r="K122" s="6">
        <v>4</v>
      </c>
      <c r="L122" s="7">
        <v>35537</v>
      </c>
    </row>
    <row r="123" spans="1:12" x14ac:dyDescent="0.35">
      <c r="A123" s="6">
        <v>1122</v>
      </c>
      <c r="B123" s="6" t="s">
        <v>53</v>
      </c>
      <c r="C123" s="6" t="s">
        <v>127</v>
      </c>
      <c r="D123" s="6" t="s">
        <v>36</v>
      </c>
      <c r="E123" s="6" t="s">
        <v>56</v>
      </c>
      <c r="F123" s="6" t="s">
        <v>120</v>
      </c>
      <c r="G123" s="6" t="s">
        <v>33</v>
      </c>
      <c r="H123" s="7">
        <v>44152</v>
      </c>
      <c r="I123" s="7"/>
      <c r="J123" s="8">
        <v>178000</v>
      </c>
      <c r="K123" s="6">
        <v>3</v>
      </c>
      <c r="L123" s="7">
        <v>35234</v>
      </c>
    </row>
    <row r="124" spans="1:12" x14ac:dyDescent="0.35">
      <c r="A124" s="6">
        <v>1123</v>
      </c>
      <c r="B124" s="6" t="s">
        <v>107</v>
      </c>
      <c r="C124" s="6" t="s">
        <v>50</v>
      </c>
      <c r="D124" s="6" t="s">
        <v>42</v>
      </c>
      <c r="E124" s="6" t="s">
        <v>65</v>
      </c>
      <c r="F124" s="6" t="s">
        <v>84</v>
      </c>
      <c r="G124" s="6" t="s">
        <v>113</v>
      </c>
      <c r="H124" s="7">
        <v>42524</v>
      </c>
      <c r="I124" s="7"/>
      <c r="J124" s="8">
        <v>158000</v>
      </c>
      <c r="K124" s="6">
        <v>4</v>
      </c>
      <c r="L124" s="7">
        <v>36893</v>
      </c>
    </row>
    <row r="125" spans="1:12" x14ac:dyDescent="0.35">
      <c r="A125" s="6">
        <v>1124</v>
      </c>
      <c r="B125" s="6" t="s">
        <v>116</v>
      </c>
      <c r="C125" s="6" t="s">
        <v>91</v>
      </c>
      <c r="D125" s="6" t="s">
        <v>54</v>
      </c>
      <c r="E125" s="6" t="s">
        <v>88</v>
      </c>
      <c r="F125" s="6" t="s">
        <v>89</v>
      </c>
      <c r="G125" s="6" t="s">
        <v>39</v>
      </c>
      <c r="H125" s="7">
        <v>43717</v>
      </c>
      <c r="I125" s="7">
        <v>45897</v>
      </c>
      <c r="J125" s="8">
        <v>114000</v>
      </c>
      <c r="K125" s="6">
        <v>5</v>
      </c>
      <c r="L125" s="7">
        <v>36538</v>
      </c>
    </row>
    <row r="126" spans="1:12" x14ac:dyDescent="0.35">
      <c r="A126" s="6">
        <v>1125</v>
      </c>
      <c r="B126" s="6" t="s">
        <v>34</v>
      </c>
      <c r="C126" s="6" t="s">
        <v>29</v>
      </c>
      <c r="D126" s="6" t="s">
        <v>36</v>
      </c>
      <c r="E126" s="6" t="s">
        <v>37</v>
      </c>
      <c r="F126" s="6" t="s">
        <v>38</v>
      </c>
      <c r="G126" s="6" t="s">
        <v>44</v>
      </c>
      <c r="H126" s="7">
        <v>45411</v>
      </c>
      <c r="I126" s="7"/>
      <c r="J126" s="8">
        <v>170000</v>
      </c>
      <c r="K126" s="6">
        <v>3</v>
      </c>
      <c r="L126" s="7">
        <v>32578</v>
      </c>
    </row>
    <row r="127" spans="1:12" x14ac:dyDescent="0.35">
      <c r="A127" s="6">
        <v>1126</v>
      </c>
      <c r="B127" s="6" t="s">
        <v>163</v>
      </c>
      <c r="C127" s="6" t="s">
        <v>149</v>
      </c>
      <c r="D127" s="6" t="s">
        <v>36</v>
      </c>
      <c r="E127" s="6" t="s">
        <v>164</v>
      </c>
      <c r="F127" s="6" t="s">
        <v>105</v>
      </c>
      <c r="G127" s="6" t="s">
        <v>33</v>
      </c>
      <c r="H127" s="7">
        <v>43358</v>
      </c>
      <c r="I127" s="7">
        <v>44400</v>
      </c>
      <c r="J127" s="8">
        <v>256000</v>
      </c>
      <c r="K127" s="6">
        <v>3</v>
      </c>
      <c r="L127" s="7">
        <v>34532</v>
      </c>
    </row>
    <row r="128" spans="1:12" x14ac:dyDescent="0.35">
      <c r="A128" s="6">
        <v>1127</v>
      </c>
      <c r="B128" s="6" t="s">
        <v>76</v>
      </c>
      <c r="C128" s="6" t="s">
        <v>122</v>
      </c>
      <c r="D128" s="6" t="s">
        <v>36</v>
      </c>
      <c r="E128" s="6" t="s">
        <v>37</v>
      </c>
      <c r="F128" s="6" t="s">
        <v>38</v>
      </c>
      <c r="G128" s="6" t="s">
        <v>44</v>
      </c>
      <c r="H128" s="7">
        <v>43588</v>
      </c>
      <c r="I128" s="7"/>
      <c r="J128" s="8">
        <v>148000</v>
      </c>
      <c r="K128" s="6">
        <v>4</v>
      </c>
      <c r="L128" s="7">
        <v>31064</v>
      </c>
    </row>
    <row r="129" spans="1:12" x14ac:dyDescent="0.35">
      <c r="A129" s="6">
        <v>1128</v>
      </c>
      <c r="B129" s="6" t="s">
        <v>146</v>
      </c>
      <c r="C129" s="6" t="s">
        <v>91</v>
      </c>
      <c r="D129" s="6" t="s">
        <v>30</v>
      </c>
      <c r="E129" s="6" t="s">
        <v>37</v>
      </c>
      <c r="F129" s="6" t="s">
        <v>38</v>
      </c>
      <c r="G129" s="6" t="s">
        <v>33</v>
      </c>
      <c r="H129" s="7">
        <v>43454</v>
      </c>
      <c r="I129" s="7"/>
      <c r="J129" s="8">
        <v>137000</v>
      </c>
      <c r="K129" s="6">
        <v>3</v>
      </c>
      <c r="L129" s="7">
        <v>34661</v>
      </c>
    </row>
    <row r="130" spans="1:12" x14ac:dyDescent="0.35">
      <c r="A130" s="6">
        <v>1129</v>
      </c>
      <c r="B130" s="6" t="s">
        <v>102</v>
      </c>
      <c r="C130" s="6" t="s">
        <v>50</v>
      </c>
      <c r="D130" s="6" t="s">
        <v>36</v>
      </c>
      <c r="E130" s="6" t="s">
        <v>88</v>
      </c>
      <c r="F130" s="6" t="s">
        <v>89</v>
      </c>
      <c r="G130" s="6" t="s">
        <v>33</v>
      </c>
      <c r="H130" s="7">
        <v>44001</v>
      </c>
      <c r="I130" s="7"/>
      <c r="J130" s="8">
        <v>153000</v>
      </c>
      <c r="K130" s="6">
        <v>3</v>
      </c>
      <c r="L130" s="7">
        <v>32814</v>
      </c>
    </row>
    <row r="131" spans="1:12" x14ac:dyDescent="0.35">
      <c r="A131" s="6">
        <v>1130</v>
      </c>
      <c r="B131" s="6" t="s">
        <v>95</v>
      </c>
      <c r="C131" s="6" t="s">
        <v>156</v>
      </c>
      <c r="D131" s="6" t="s">
        <v>42</v>
      </c>
      <c r="E131" s="6" t="s">
        <v>65</v>
      </c>
      <c r="F131" s="6" t="s">
        <v>159</v>
      </c>
      <c r="G131" s="6" t="s">
        <v>33</v>
      </c>
      <c r="H131" s="7">
        <v>45604</v>
      </c>
      <c r="I131" s="7"/>
      <c r="J131" s="8">
        <v>280000</v>
      </c>
      <c r="K131" s="6">
        <v>2</v>
      </c>
      <c r="L131" s="7">
        <v>34243</v>
      </c>
    </row>
    <row r="132" spans="1:12" x14ac:dyDescent="0.35">
      <c r="A132" s="6">
        <v>1131</v>
      </c>
      <c r="B132" s="6" t="s">
        <v>147</v>
      </c>
      <c r="C132" s="6" t="s">
        <v>162</v>
      </c>
      <c r="D132" s="6" t="s">
        <v>42</v>
      </c>
      <c r="E132" s="6" t="s">
        <v>51</v>
      </c>
      <c r="F132" s="6" t="s">
        <v>153</v>
      </c>
      <c r="G132" s="6" t="s">
        <v>33</v>
      </c>
      <c r="H132" s="7">
        <v>44679</v>
      </c>
      <c r="I132" s="7">
        <v>45122</v>
      </c>
      <c r="J132" s="8">
        <v>539000</v>
      </c>
      <c r="K132" s="6">
        <v>3</v>
      </c>
      <c r="L132" s="7">
        <v>32460</v>
      </c>
    </row>
    <row r="133" spans="1:12" x14ac:dyDescent="0.35">
      <c r="A133" s="6">
        <v>1132</v>
      </c>
      <c r="B133" s="6" t="s">
        <v>154</v>
      </c>
      <c r="C133" s="6" t="s">
        <v>77</v>
      </c>
      <c r="D133" s="6" t="s">
        <v>42</v>
      </c>
      <c r="E133" s="6" t="s">
        <v>51</v>
      </c>
      <c r="F133" s="6" t="s">
        <v>52</v>
      </c>
      <c r="G133" s="6" t="s">
        <v>44</v>
      </c>
      <c r="H133" s="7">
        <v>44244</v>
      </c>
      <c r="I133" s="7"/>
      <c r="J133" s="8">
        <v>166000</v>
      </c>
      <c r="K133" s="6">
        <v>3</v>
      </c>
      <c r="L133" s="7">
        <v>33622</v>
      </c>
    </row>
    <row r="134" spans="1:12" x14ac:dyDescent="0.35">
      <c r="A134" s="6">
        <v>1133</v>
      </c>
      <c r="B134" s="6" t="s">
        <v>95</v>
      </c>
      <c r="C134" s="6" t="s">
        <v>122</v>
      </c>
      <c r="D134" s="6" t="s">
        <v>42</v>
      </c>
      <c r="E134" s="6" t="s">
        <v>88</v>
      </c>
      <c r="F134" s="6" t="s">
        <v>89</v>
      </c>
      <c r="G134" s="6" t="s">
        <v>113</v>
      </c>
      <c r="H134" s="7">
        <v>45482</v>
      </c>
      <c r="I134" s="7">
        <v>46013</v>
      </c>
      <c r="J134" s="8">
        <v>162000</v>
      </c>
      <c r="K134" s="6">
        <v>4</v>
      </c>
      <c r="L134" s="7">
        <v>33886</v>
      </c>
    </row>
    <row r="135" spans="1:12" x14ac:dyDescent="0.35">
      <c r="A135" s="6">
        <v>1134</v>
      </c>
      <c r="B135" s="6" t="s">
        <v>95</v>
      </c>
      <c r="C135" s="6" t="s">
        <v>104</v>
      </c>
      <c r="D135" s="6" t="s">
        <v>42</v>
      </c>
      <c r="E135" s="6" t="s">
        <v>88</v>
      </c>
      <c r="F135" s="6" t="s">
        <v>89</v>
      </c>
      <c r="G135" s="6" t="s">
        <v>44</v>
      </c>
      <c r="H135" s="7">
        <v>42644</v>
      </c>
      <c r="I135" s="7"/>
      <c r="J135" s="8">
        <v>167000</v>
      </c>
      <c r="K135" s="6">
        <v>3</v>
      </c>
      <c r="L135" s="7">
        <v>36355</v>
      </c>
    </row>
    <row r="136" spans="1:12" x14ac:dyDescent="0.35">
      <c r="A136" s="6">
        <v>1135</v>
      </c>
      <c r="B136" s="6" t="s">
        <v>116</v>
      </c>
      <c r="C136" s="6" t="s">
        <v>60</v>
      </c>
      <c r="D136" s="6" t="s">
        <v>36</v>
      </c>
      <c r="E136" s="6" t="s">
        <v>88</v>
      </c>
      <c r="F136" s="6" t="s">
        <v>96</v>
      </c>
      <c r="G136" s="6" t="s">
        <v>33</v>
      </c>
      <c r="H136" s="7">
        <v>45700</v>
      </c>
      <c r="I136" s="7"/>
      <c r="J136" s="8">
        <v>493000</v>
      </c>
      <c r="K136" s="6">
        <v>3</v>
      </c>
      <c r="L136" s="7">
        <v>32980</v>
      </c>
    </row>
    <row r="137" spans="1:12" x14ac:dyDescent="0.35">
      <c r="A137" s="6">
        <v>1136</v>
      </c>
      <c r="B137" s="6" t="s">
        <v>165</v>
      </c>
      <c r="C137" s="6" t="s">
        <v>166</v>
      </c>
      <c r="D137" s="6" t="s">
        <v>36</v>
      </c>
      <c r="E137" s="6" t="s">
        <v>56</v>
      </c>
      <c r="F137" s="6" t="s">
        <v>143</v>
      </c>
      <c r="G137" s="6" t="s">
        <v>33</v>
      </c>
      <c r="H137" s="7">
        <v>43529</v>
      </c>
      <c r="I137" s="7"/>
      <c r="J137" s="8">
        <v>322000</v>
      </c>
      <c r="K137" s="6">
        <v>5</v>
      </c>
      <c r="L137" s="7">
        <v>28045</v>
      </c>
    </row>
    <row r="138" spans="1:12" x14ac:dyDescent="0.35">
      <c r="A138" s="6">
        <v>1137</v>
      </c>
      <c r="B138" s="6" t="s">
        <v>152</v>
      </c>
      <c r="C138" s="6" t="s">
        <v>132</v>
      </c>
      <c r="D138" s="6" t="s">
        <v>36</v>
      </c>
      <c r="E138" s="6" t="s">
        <v>47</v>
      </c>
      <c r="F138" s="6" t="s">
        <v>101</v>
      </c>
      <c r="G138" s="6" t="s">
        <v>39</v>
      </c>
      <c r="H138" s="7">
        <v>44984</v>
      </c>
      <c r="I138" s="7"/>
      <c r="J138" s="8">
        <v>150000</v>
      </c>
      <c r="K138" s="6">
        <v>3</v>
      </c>
      <c r="L138" s="7">
        <v>29609</v>
      </c>
    </row>
    <row r="139" spans="1:12" x14ac:dyDescent="0.35">
      <c r="A139" s="6">
        <v>1138</v>
      </c>
      <c r="B139" s="6" t="s">
        <v>76</v>
      </c>
      <c r="C139" s="6" t="s">
        <v>132</v>
      </c>
      <c r="D139" s="6" t="s">
        <v>36</v>
      </c>
      <c r="E139" s="6" t="s">
        <v>65</v>
      </c>
      <c r="F139" s="6" t="s">
        <v>84</v>
      </c>
      <c r="G139" s="6" t="s">
        <v>44</v>
      </c>
      <c r="H139" s="7">
        <v>44556</v>
      </c>
      <c r="I139" s="7">
        <v>45220</v>
      </c>
      <c r="J139" s="8">
        <v>156000</v>
      </c>
      <c r="K139" s="6">
        <v>2</v>
      </c>
      <c r="L139" s="7">
        <v>30907</v>
      </c>
    </row>
    <row r="140" spans="1:12" x14ac:dyDescent="0.35">
      <c r="A140" s="6">
        <v>1139</v>
      </c>
      <c r="B140" s="6" t="s">
        <v>73</v>
      </c>
      <c r="C140" s="6" t="s">
        <v>162</v>
      </c>
      <c r="D140" s="6" t="s">
        <v>54</v>
      </c>
      <c r="E140" s="6" t="s">
        <v>56</v>
      </c>
      <c r="F140" s="6" t="s">
        <v>57</v>
      </c>
      <c r="G140" s="6" t="s">
        <v>44</v>
      </c>
      <c r="H140" s="7">
        <v>44589</v>
      </c>
      <c r="I140" s="7">
        <v>45025</v>
      </c>
      <c r="J140" s="8">
        <v>152000</v>
      </c>
      <c r="K140" s="6">
        <v>5</v>
      </c>
      <c r="L140" s="7">
        <v>29426</v>
      </c>
    </row>
    <row r="141" spans="1:12" x14ac:dyDescent="0.35">
      <c r="A141" s="6">
        <v>1140</v>
      </c>
      <c r="B141" s="6" t="s">
        <v>99</v>
      </c>
      <c r="C141" s="6" t="s">
        <v>160</v>
      </c>
      <c r="D141" s="6" t="s">
        <v>42</v>
      </c>
      <c r="E141" s="6" t="s">
        <v>65</v>
      </c>
      <c r="F141" s="6" t="s">
        <v>84</v>
      </c>
      <c r="G141" s="6" t="s">
        <v>113</v>
      </c>
      <c r="H141" s="7">
        <v>44944</v>
      </c>
      <c r="I141" s="7"/>
      <c r="J141" s="8">
        <v>169000</v>
      </c>
      <c r="K141" s="6">
        <v>4</v>
      </c>
      <c r="L141" s="7">
        <v>29991</v>
      </c>
    </row>
    <row r="142" spans="1:12" x14ac:dyDescent="0.35">
      <c r="A142" s="6">
        <v>1141</v>
      </c>
      <c r="B142" s="6" t="s">
        <v>167</v>
      </c>
      <c r="C142" s="6" t="s">
        <v>118</v>
      </c>
      <c r="D142" s="6" t="s">
        <v>36</v>
      </c>
      <c r="E142" s="6" t="s">
        <v>68</v>
      </c>
      <c r="F142" s="6" t="s">
        <v>85</v>
      </c>
      <c r="G142" s="6" t="s">
        <v>33</v>
      </c>
      <c r="H142" s="7">
        <v>42691</v>
      </c>
      <c r="I142" s="7">
        <v>45170</v>
      </c>
      <c r="J142" s="8">
        <v>179000</v>
      </c>
      <c r="K142" s="6">
        <v>3</v>
      </c>
      <c r="L142" s="7">
        <v>29892</v>
      </c>
    </row>
    <row r="143" spans="1:12" x14ac:dyDescent="0.35">
      <c r="A143" s="6">
        <v>1142</v>
      </c>
      <c r="B143" s="6" t="s">
        <v>154</v>
      </c>
      <c r="C143" s="6" t="s">
        <v>122</v>
      </c>
      <c r="D143" s="6" t="s">
        <v>42</v>
      </c>
      <c r="E143" s="6" t="s">
        <v>65</v>
      </c>
      <c r="F143" s="6" t="s">
        <v>159</v>
      </c>
      <c r="G143" s="6" t="s">
        <v>33</v>
      </c>
      <c r="H143" s="7">
        <v>43132</v>
      </c>
      <c r="I143" s="7"/>
      <c r="J143" s="8">
        <v>325000</v>
      </c>
      <c r="K143" s="6">
        <v>3</v>
      </c>
      <c r="L143" s="7">
        <v>28783</v>
      </c>
    </row>
    <row r="144" spans="1:12" x14ac:dyDescent="0.35">
      <c r="A144" s="6">
        <v>1143</v>
      </c>
      <c r="B144" s="6" t="s">
        <v>165</v>
      </c>
      <c r="C144" s="6" t="s">
        <v>127</v>
      </c>
      <c r="D144" s="6" t="s">
        <v>36</v>
      </c>
      <c r="E144" s="6" t="s">
        <v>164</v>
      </c>
      <c r="F144" s="6" t="s">
        <v>85</v>
      </c>
      <c r="G144" s="6" t="s">
        <v>39</v>
      </c>
      <c r="H144" s="7">
        <v>45154</v>
      </c>
      <c r="I144" s="7"/>
      <c r="J144" s="8">
        <v>155000</v>
      </c>
      <c r="K144" s="6">
        <v>4</v>
      </c>
      <c r="L144" s="7">
        <v>28494</v>
      </c>
    </row>
    <row r="145" spans="1:12" x14ac:dyDescent="0.35">
      <c r="A145" s="6">
        <v>1144</v>
      </c>
      <c r="B145" s="6" t="s">
        <v>97</v>
      </c>
      <c r="C145" s="6" t="s">
        <v>156</v>
      </c>
      <c r="D145" s="6" t="s">
        <v>36</v>
      </c>
      <c r="E145" s="6" t="s">
        <v>56</v>
      </c>
      <c r="F145" s="6" t="s">
        <v>57</v>
      </c>
      <c r="G145" s="6" t="s">
        <v>62</v>
      </c>
      <c r="H145" s="7">
        <v>42818</v>
      </c>
      <c r="I145" s="7"/>
      <c r="J145" s="8">
        <v>230000</v>
      </c>
      <c r="K145" s="6">
        <v>4</v>
      </c>
      <c r="L145" s="7">
        <v>27539</v>
      </c>
    </row>
    <row r="146" spans="1:12" x14ac:dyDescent="0.35">
      <c r="A146" s="6">
        <v>1145</v>
      </c>
      <c r="B146" s="6" t="s">
        <v>131</v>
      </c>
      <c r="C146" s="6" t="s">
        <v>132</v>
      </c>
      <c r="D146" s="6" t="s">
        <v>36</v>
      </c>
      <c r="E146" s="6" t="s">
        <v>79</v>
      </c>
      <c r="F146" s="6" t="s">
        <v>32</v>
      </c>
      <c r="G146" s="6" t="s">
        <v>33</v>
      </c>
      <c r="H146" s="7">
        <v>44408</v>
      </c>
      <c r="I146" s="7"/>
      <c r="J146" s="8">
        <v>123000</v>
      </c>
      <c r="K146" s="6">
        <v>3</v>
      </c>
      <c r="L146" s="7">
        <v>34932</v>
      </c>
    </row>
    <row r="147" spans="1:12" x14ac:dyDescent="0.35">
      <c r="A147" s="6">
        <v>1146</v>
      </c>
      <c r="B147" s="6" t="s">
        <v>28</v>
      </c>
      <c r="C147" s="6" t="s">
        <v>149</v>
      </c>
      <c r="D147" s="6" t="s">
        <v>42</v>
      </c>
      <c r="E147" s="6" t="s">
        <v>65</v>
      </c>
      <c r="F147" s="6" t="s">
        <v>66</v>
      </c>
      <c r="G147" s="6" t="s">
        <v>33</v>
      </c>
      <c r="H147" s="7">
        <v>43003</v>
      </c>
      <c r="I147" s="7">
        <v>45095</v>
      </c>
      <c r="J147" s="8">
        <v>194000</v>
      </c>
      <c r="K147" s="6">
        <v>4</v>
      </c>
      <c r="L147" s="7">
        <v>36423</v>
      </c>
    </row>
    <row r="148" spans="1:12" x14ac:dyDescent="0.35">
      <c r="A148" s="6">
        <v>1147</v>
      </c>
      <c r="B148" s="6" t="s">
        <v>109</v>
      </c>
      <c r="C148" s="6" t="s">
        <v>82</v>
      </c>
      <c r="D148" s="6" t="s">
        <v>42</v>
      </c>
      <c r="E148" s="6" t="s">
        <v>47</v>
      </c>
      <c r="F148" s="6" t="s">
        <v>72</v>
      </c>
      <c r="G148" s="6" t="s">
        <v>39</v>
      </c>
      <c r="H148" s="7">
        <v>44559</v>
      </c>
      <c r="I148" s="7"/>
      <c r="J148" s="8">
        <v>478000</v>
      </c>
      <c r="K148" s="6">
        <v>4</v>
      </c>
      <c r="L148" s="7">
        <v>32897</v>
      </c>
    </row>
    <row r="149" spans="1:12" x14ac:dyDescent="0.35">
      <c r="A149" s="6">
        <v>1148</v>
      </c>
      <c r="B149" s="6" t="s">
        <v>119</v>
      </c>
      <c r="C149" s="6" t="s">
        <v>142</v>
      </c>
      <c r="D149" s="6" t="s">
        <v>42</v>
      </c>
      <c r="E149" s="6" t="s">
        <v>51</v>
      </c>
      <c r="F149" s="6" t="s">
        <v>52</v>
      </c>
      <c r="G149" s="6" t="s">
        <v>33</v>
      </c>
      <c r="H149" s="7">
        <v>45310</v>
      </c>
      <c r="I149" s="7">
        <v>45868</v>
      </c>
      <c r="J149" s="8">
        <v>172000</v>
      </c>
      <c r="K149" s="6">
        <v>4</v>
      </c>
      <c r="L149" s="7">
        <v>28340</v>
      </c>
    </row>
    <row r="150" spans="1:12" x14ac:dyDescent="0.35">
      <c r="A150" s="6">
        <v>1149</v>
      </c>
      <c r="B150" s="6" t="s">
        <v>45</v>
      </c>
      <c r="C150" s="6" t="s">
        <v>124</v>
      </c>
      <c r="D150" s="6" t="s">
        <v>42</v>
      </c>
      <c r="E150" s="6" t="s">
        <v>56</v>
      </c>
      <c r="F150" s="6" t="s">
        <v>120</v>
      </c>
      <c r="G150" s="6" t="s">
        <v>62</v>
      </c>
      <c r="H150" s="7">
        <v>45420</v>
      </c>
      <c r="I150" s="7"/>
      <c r="J150" s="8">
        <v>129000</v>
      </c>
      <c r="K150" s="6">
        <v>4</v>
      </c>
      <c r="L150" s="7">
        <v>28516</v>
      </c>
    </row>
    <row r="151" spans="1:12" x14ac:dyDescent="0.35">
      <c r="A151" s="6">
        <v>1150</v>
      </c>
      <c r="B151" s="6" t="s">
        <v>76</v>
      </c>
      <c r="C151" s="6" t="s">
        <v>124</v>
      </c>
      <c r="D151" s="6" t="s">
        <v>54</v>
      </c>
      <c r="E151" s="6" t="s">
        <v>47</v>
      </c>
      <c r="F151" s="6" t="s">
        <v>101</v>
      </c>
      <c r="G151" s="6" t="s">
        <v>33</v>
      </c>
      <c r="H151" s="7">
        <v>44483</v>
      </c>
      <c r="I151" s="7"/>
      <c r="J151" s="8">
        <v>164000</v>
      </c>
      <c r="K151" s="6">
        <v>4</v>
      </c>
      <c r="L151" s="7">
        <v>29648</v>
      </c>
    </row>
    <row r="152" spans="1:12" x14ac:dyDescent="0.35">
      <c r="A152" s="6">
        <v>1151</v>
      </c>
      <c r="B152" s="6" t="s">
        <v>110</v>
      </c>
      <c r="C152" s="6" t="s">
        <v>50</v>
      </c>
      <c r="D152" s="6" t="s">
        <v>42</v>
      </c>
      <c r="E152" s="6" t="s">
        <v>51</v>
      </c>
      <c r="F152" s="6" t="s">
        <v>52</v>
      </c>
      <c r="G152" s="6" t="s">
        <v>44</v>
      </c>
      <c r="H152" s="7">
        <v>44094</v>
      </c>
      <c r="I152" s="7">
        <v>45108</v>
      </c>
      <c r="J152" s="8">
        <v>177000</v>
      </c>
      <c r="K152" s="6">
        <v>2</v>
      </c>
      <c r="L152" s="7">
        <v>35071</v>
      </c>
    </row>
    <row r="153" spans="1:12" x14ac:dyDescent="0.35">
      <c r="A153" s="6">
        <v>1152</v>
      </c>
      <c r="B153" s="6" t="s">
        <v>95</v>
      </c>
      <c r="C153" s="6" t="s">
        <v>108</v>
      </c>
      <c r="D153" s="6" t="s">
        <v>42</v>
      </c>
      <c r="E153" s="6" t="s">
        <v>168</v>
      </c>
      <c r="F153" s="6" t="s">
        <v>112</v>
      </c>
      <c r="G153" s="6" t="s">
        <v>33</v>
      </c>
      <c r="H153" s="7">
        <v>45660</v>
      </c>
      <c r="I153" s="7"/>
      <c r="J153" s="8">
        <v>420000</v>
      </c>
      <c r="K153" s="6">
        <v>3</v>
      </c>
      <c r="L153" s="7">
        <v>30535</v>
      </c>
    </row>
    <row r="154" spans="1:12" x14ac:dyDescent="0.35">
      <c r="A154" s="6">
        <v>1153</v>
      </c>
      <c r="B154" s="6" t="s">
        <v>165</v>
      </c>
      <c r="C154" s="6" t="s">
        <v>124</v>
      </c>
      <c r="D154" s="6" t="s">
        <v>36</v>
      </c>
      <c r="E154" s="6" t="s">
        <v>79</v>
      </c>
      <c r="F154" s="6" t="s">
        <v>32</v>
      </c>
      <c r="G154" s="6" t="s">
        <v>62</v>
      </c>
      <c r="H154" s="7">
        <v>45704</v>
      </c>
      <c r="I154" s="7"/>
      <c r="J154" s="8">
        <v>125000</v>
      </c>
      <c r="K154" s="6">
        <v>2</v>
      </c>
      <c r="L154" s="7">
        <v>32093</v>
      </c>
    </row>
    <row r="155" spans="1:12" x14ac:dyDescent="0.35">
      <c r="A155" s="6">
        <v>1154</v>
      </c>
      <c r="B155" s="6" t="s">
        <v>107</v>
      </c>
      <c r="C155" s="6" t="s">
        <v>98</v>
      </c>
      <c r="D155" s="6" t="s">
        <v>30</v>
      </c>
      <c r="E155" s="6" t="s">
        <v>37</v>
      </c>
      <c r="F155" s="6" t="s">
        <v>169</v>
      </c>
      <c r="G155" s="6" t="s">
        <v>33</v>
      </c>
      <c r="H155" s="7">
        <v>43419</v>
      </c>
      <c r="I155" s="7"/>
      <c r="J155" s="8">
        <v>247000</v>
      </c>
      <c r="K155" s="6">
        <v>3</v>
      </c>
      <c r="L155" s="7">
        <v>29903</v>
      </c>
    </row>
    <row r="156" spans="1:12" x14ac:dyDescent="0.35">
      <c r="A156" s="6">
        <v>1155</v>
      </c>
      <c r="B156" s="6" t="s">
        <v>170</v>
      </c>
      <c r="C156" s="6" t="s">
        <v>60</v>
      </c>
      <c r="D156" s="6" t="s">
        <v>36</v>
      </c>
      <c r="E156" s="6" t="s">
        <v>51</v>
      </c>
      <c r="F156" s="6" t="s">
        <v>52</v>
      </c>
      <c r="G156" s="6" t="s">
        <v>113</v>
      </c>
      <c r="H156" s="7">
        <v>45054</v>
      </c>
      <c r="I156" s="7"/>
      <c r="J156" s="8">
        <v>141000</v>
      </c>
      <c r="K156" s="6">
        <v>3</v>
      </c>
      <c r="L156" s="7">
        <v>29900</v>
      </c>
    </row>
    <row r="157" spans="1:12" x14ac:dyDescent="0.35">
      <c r="A157" s="6">
        <v>1156</v>
      </c>
      <c r="B157" s="6" t="s">
        <v>146</v>
      </c>
      <c r="C157" s="6" t="s">
        <v>136</v>
      </c>
      <c r="D157" s="6" t="s">
        <v>42</v>
      </c>
      <c r="E157" s="6" t="s">
        <v>47</v>
      </c>
      <c r="F157" s="6" t="s">
        <v>101</v>
      </c>
      <c r="G157" s="6" t="s">
        <v>62</v>
      </c>
      <c r="H157" s="7">
        <v>43098</v>
      </c>
      <c r="I157" s="7">
        <v>46011</v>
      </c>
      <c r="J157" s="8">
        <v>133000</v>
      </c>
      <c r="K157" s="6">
        <v>3</v>
      </c>
      <c r="L157" s="7">
        <v>36467</v>
      </c>
    </row>
    <row r="158" spans="1:12" x14ac:dyDescent="0.35">
      <c r="A158" s="6">
        <v>1157</v>
      </c>
      <c r="B158" s="6" t="s">
        <v>114</v>
      </c>
      <c r="C158" s="6" t="s">
        <v>59</v>
      </c>
      <c r="D158" s="6" t="s">
        <v>36</v>
      </c>
      <c r="E158" s="6" t="s">
        <v>65</v>
      </c>
      <c r="F158" s="6" t="s">
        <v>66</v>
      </c>
      <c r="G158" s="6" t="s">
        <v>39</v>
      </c>
      <c r="H158" s="7">
        <v>43356</v>
      </c>
      <c r="I158" s="7"/>
      <c r="J158" s="8">
        <v>187000</v>
      </c>
      <c r="K158" s="6">
        <v>5</v>
      </c>
      <c r="L158" s="7">
        <v>28469</v>
      </c>
    </row>
    <row r="159" spans="1:12" x14ac:dyDescent="0.35">
      <c r="A159" s="6">
        <v>1158</v>
      </c>
      <c r="B159" s="6" t="s">
        <v>154</v>
      </c>
      <c r="C159" s="6" t="s">
        <v>171</v>
      </c>
      <c r="D159" s="6" t="s">
        <v>42</v>
      </c>
      <c r="E159" s="6" t="s">
        <v>88</v>
      </c>
      <c r="F159" s="6" t="s">
        <v>89</v>
      </c>
      <c r="G159" s="6" t="s">
        <v>33</v>
      </c>
      <c r="H159" s="7">
        <v>44919</v>
      </c>
      <c r="I159" s="7"/>
      <c r="J159" s="8">
        <v>228000</v>
      </c>
      <c r="K159" s="6">
        <v>3</v>
      </c>
      <c r="L159" s="7">
        <v>30118</v>
      </c>
    </row>
    <row r="160" spans="1:12" x14ac:dyDescent="0.35">
      <c r="A160" s="6">
        <v>1159</v>
      </c>
      <c r="B160" s="6" t="s">
        <v>40</v>
      </c>
      <c r="C160" s="6" t="s">
        <v>82</v>
      </c>
      <c r="D160" s="6" t="s">
        <v>42</v>
      </c>
      <c r="E160" s="6" t="s">
        <v>51</v>
      </c>
      <c r="F160" s="6" t="s">
        <v>52</v>
      </c>
      <c r="G160" s="6" t="s">
        <v>39</v>
      </c>
      <c r="H160" s="7">
        <v>43507</v>
      </c>
      <c r="I160" s="7"/>
      <c r="J160" s="8">
        <v>157000</v>
      </c>
      <c r="K160" s="6">
        <v>5</v>
      </c>
      <c r="L160" s="7">
        <v>29874</v>
      </c>
    </row>
    <row r="161" spans="1:12" x14ac:dyDescent="0.35">
      <c r="A161" s="6">
        <v>1160</v>
      </c>
      <c r="B161" s="6" t="s">
        <v>165</v>
      </c>
      <c r="C161" s="6" t="s">
        <v>41</v>
      </c>
      <c r="D161" s="6" t="s">
        <v>36</v>
      </c>
      <c r="E161" s="6" t="s">
        <v>37</v>
      </c>
      <c r="F161" s="6" t="s">
        <v>43</v>
      </c>
      <c r="G161" s="6" t="s">
        <v>39</v>
      </c>
      <c r="H161" s="7">
        <v>42390</v>
      </c>
      <c r="I161" s="7"/>
      <c r="J161" s="8">
        <v>165000</v>
      </c>
      <c r="K161" s="6">
        <v>4</v>
      </c>
      <c r="L161" s="7">
        <v>28880</v>
      </c>
    </row>
    <row r="162" spans="1:12" x14ac:dyDescent="0.35">
      <c r="A162" s="6">
        <v>1161</v>
      </c>
      <c r="B162" s="6" t="s">
        <v>128</v>
      </c>
      <c r="C162" s="6" t="s">
        <v>104</v>
      </c>
      <c r="D162" s="6" t="s">
        <v>42</v>
      </c>
      <c r="E162" s="6" t="s">
        <v>79</v>
      </c>
      <c r="F162" s="6" t="s">
        <v>133</v>
      </c>
      <c r="G162" s="6" t="s">
        <v>62</v>
      </c>
      <c r="H162" s="7">
        <v>45494</v>
      </c>
      <c r="I162" s="7"/>
      <c r="J162" s="8">
        <v>396000</v>
      </c>
      <c r="K162" s="6">
        <v>3</v>
      </c>
      <c r="L162" s="7">
        <v>31200</v>
      </c>
    </row>
    <row r="163" spans="1:12" x14ac:dyDescent="0.35">
      <c r="A163" s="6">
        <v>1162</v>
      </c>
      <c r="B163" s="6" t="s">
        <v>40</v>
      </c>
      <c r="C163" s="6" t="s">
        <v>108</v>
      </c>
      <c r="D163" s="6" t="s">
        <v>42</v>
      </c>
      <c r="E163" s="6" t="s">
        <v>88</v>
      </c>
      <c r="F163" s="6" t="s">
        <v>89</v>
      </c>
      <c r="G163" s="6" t="s">
        <v>62</v>
      </c>
      <c r="H163" s="7">
        <v>42774</v>
      </c>
      <c r="I163" s="7"/>
      <c r="J163" s="8">
        <v>159000</v>
      </c>
      <c r="K163" s="6">
        <v>4</v>
      </c>
      <c r="L163" s="7">
        <v>36473</v>
      </c>
    </row>
    <row r="164" spans="1:12" x14ac:dyDescent="0.35">
      <c r="A164" s="6">
        <v>1163</v>
      </c>
      <c r="B164" s="6" t="s">
        <v>34</v>
      </c>
      <c r="C164" s="6" t="s">
        <v>46</v>
      </c>
      <c r="D164" s="6" t="s">
        <v>54</v>
      </c>
      <c r="E164" s="6" t="s">
        <v>79</v>
      </c>
      <c r="F164" s="6" t="s">
        <v>106</v>
      </c>
      <c r="G164" s="6" t="s">
        <v>62</v>
      </c>
      <c r="H164" s="7">
        <v>45467</v>
      </c>
      <c r="I164" s="7">
        <v>46013</v>
      </c>
      <c r="J164" s="8">
        <v>276000</v>
      </c>
      <c r="K164" s="6">
        <v>5</v>
      </c>
      <c r="L164" s="7">
        <v>28747</v>
      </c>
    </row>
    <row r="165" spans="1:12" x14ac:dyDescent="0.35">
      <c r="A165" s="6">
        <v>1164</v>
      </c>
      <c r="B165" s="6" t="s">
        <v>83</v>
      </c>
      <c r="C165" s="6" t="s">
        <v>87</v>
      </c>
      <c r="D165" s="6" t="s">
        <v>54</v>
      </c>
      <c r="E165" s="6" t="s">
        <v>79</v>
      </c>
      <c r="F165" s="6" t="s">
        <v>32</v>
      </c>
      <c r="G165" s="6" t="s">
        <v>44</v>
      </c>
      <c r="H165" s="7">
        <v>43527</v>
      </c>
      <c r="I165" s="7"/>
      <c r="J165" s="8">
        <v>140000</v>
      </c>
      <c r="K165" s="6">
        <v>3</v>
      </c>
      <c r="L165" s="7">
        <v>30827</v>
      </c>
    </row>
    <row r="166" spans="1:12" x14ac:dyDescent="0.35">
      <c r="A166" s="6">
        <v>1165</v>
      </c>
      <c r="B166" s="6" t="s">
        <v>109</v>
      </c>
      <c r="C166" s="6" t="s">
        <v>59</v>
      </c>
      <c r="D166" s="6" t="s">
        <v>42</v>
      </c>
      <c r="E166" s="6" t="s">
        <v>51</v>
      </c>
      <c r="F166" s="6" t="s">
        <v>52</v>
      </c>
      <c r="G166" s="6" t="s">
        <v>62</v>
      </c>
      <c r="H166" s="7">
        <v>45378</v>
      </c>
      <c r="I166" s="7"/>
      <c r="J166" s="8">
        <v>184000</v>
      </c>
      <c r="K166" s="6">
        <v>5</v>
      </c>
      <c r="L166" s="7">
        <v>37231</v>
      </c>
    </row>
    <row r="167" spans="1:12" x14ac:dyDescent="0.35">
      <c r="A167" s="6">
        <v>1166</v>
      </c>
      <c r="B167" s="6" t="s">
        <v>55</v>
      </c>
      <c r="C167" s="6" t="s">
        <v>77</v>
      </c>
      <c r="D167" s="6" t="s">
        <v>30</v>
      </c>
      <c r="E167" s="6" t="s">
        <v>56</v>
      </c>
      <c r="F167" s="6" t="s">
        <v>57</v>
      </c>
      <c r="G167" s="6" t="s">
        <v>33</v>
      </c>
      <c r="H167" s="7">
        <v>45425</v>
      </c>
      <c r="I167" s="7"/>
      <c r="J167" s="8">
        <v>175000</v>
      </c>
      <c r="K167" s="6">
        <v>4</v>
      </c>
      <c r="L167" s="7">
        <v>28985</v>
      </c>
    </row>
    <row r="168" spans="1:12" x14ac:dyDescent="0.35">
      <c r="A168" s="6">
        <v>1167</v>
      </c>
      <c r="B168" s="6" t="s">
        <v>154</v>
      </c>
      <c r="C168" s="6" t="s">
        <v>172</v>
      </c>
      <c r="D168" s="6" t="s">
        <v>42</v>
      </c>
      <c r="E168" s="6" t="s">
        <v>173</v>
      </c>
      <c r="F168" s="6" t="s">
        <v>43</v>
      </c>
      <c r="G168" s="6" t="s">
        <v>33</v>
      </c>
      <c r="H168" s="7">
        <v>43343</v>
      </c>
      <c r="I168" s="7"/>
      <c r="J168" s="8">
        <v>150000</v>
      </c>
      <c r="K168" s="6">
        <v>2</v>
      </c>
      <c r="L168" s="7">
        <v>33007</v>
      </c>
    </row>
    <row r="169" spans="1:12" x14ac:dyDescent="0.35">
      <c r="A169" s="6">
        <v>1168</v>
      </c>
      <c r="B169" s="6" t="s">
        <v>97</v>
      </c>
      <c r="C169" s="6" t="s">
        <v>50</v>
      </c>
      <c r="D169" s="6" t="s">
        <v>36</v>
      </c>
      <c r="E169" s="6" t="s">
        <v>47</v>
      </c>
      <c r="F169" s="6" t="s">
        <v>101</v>
      </c>
      <c r="G169" s="6" t="s">
        <v>39</v>
      </c>
      <c r="H169" s="7">
        <v>44152</v>
      </c>
      <c r="I169" s="7"/>
      <c r="J169" s="8">
        <v>167000</v>
      </c>
      <c r="K169" s="6">
        <v>4</v>
      </c>
      <c r="L169" s="7">
        <v>31853</v>
      </c>
    </row>
    <row r="170" spans="1:12" x14ac:dyDescent="0.35">
      <c r="A170" s="6">
        <v>1169</v>
      </c>
      <c r="B170" s="6" t="s">
        <v>110</v>
      </c>
      <c r="C170" s="6" t="s">
        <v>98</v>
      </c>
      <c r="D170" s="6" t="s">
        <v>42</v>
      </c>
      <c r="E170" s="6" t="s">
        <v>51</v>
      </c>
      <c r="F170" s="6" t="s">
        <v>61</v>
      </c>
      <c r="G170" s="6" t="s">
        <v>33</v>
      </c>
      <c r="H170" s="7">
        <v>43247</v>
      </c>
      <c r="I170" s="7">
        <v>45024</v>
      </c>
      <c r="J170" s="8">
        <v>330000</v>
      </c>
      <c r="K170" s="6">
        <v>3</v>
      </c>
      <c r="L170" s="7">
        <v>28308</v>
      </c>
    </row>
    <row r="171" spans="1:12" x14ac:dyDescent="0.35">
      <c r="A171" s="6">
        <v>1170</v>
      </c>
      <c r="B171" s="6" t="s">
        <v>40</v>
      </c>
      <c r="C171" s="6" t="s">
        <v>29</v>
      </c>
      <c r="D171" s="6" t="s">
        <v>42</v>
      </c>
      <c r="E171" s="6" t="s">
        <v>56</v>
      </c>
      <c r="F171" s="6" t="s">
        <v>120</v>
      </c>
      <c r="G171" s="6" t="s">
        <v>39</v>
      </c>
      <c r="H171" s="7">
        <v>45279</v>
      </c>
      <c r="I171" s="7">
        <v>45705</v>
      </c>
      <c r="J171" s="8">
        <v>143000</v>
      </c>
      <c r="K171" s="6">
        <v>2</v>
      </c>
      <c r="L171" s="7">
        <v>33592</v>
      </c>
    </row>
    <row r="172" spans="1:12" x14ac:dyDescent="0.35">
      <c r="A172" s="6">
        <v>1171</v>
      </c>
      <c r="B172" s="6" t="s">
        <v>115</v>
      </c>
      <c r="C172" s="6" t="s">
        <v>122</v>
      </c>
      <c r="D172" s="6" t="s">
        <v>42</v>
      </c>
      <c r="E172" s="6" t="s">
        <v>65</v>
      </c>
      <c r="F172" s="6" t="s">
        <v>84</v>
      </c>
      <c r="G172" s="6" t="s">
        <v>44</v>
      </c>
      <c r="H172" s="7">
        <v>43765</v>
      </c>
      <c r="I172" s="7"/>
      <c r="J172" s="8">
        <v>136000</v>
      </c>
      <c r="K172" s="6">
        <v>4</v>
      </c>
      <c r="L172" s="7">
        <v>31249</v>
      </c>
    </row>
    <row r="173" spans="1:12" x14ac:dyDescent="0.35">
      <c r="A173" s="6">
        <v>1172</v>
      </c>
      <c r="B173" s="6" t="s">
        <v>95</v>
      </c>
      <c r="C173" s="6" t="s">
        <v>174</v>
      </c>
      <c r="D173" s="6" t="s">
        <v>42</v>
      </c>
      <c r="E173" s="6" t="s">
        <v>37</v>
      </c>
      <c r="F173" s="6" t="s">
        <v>38</v>
      </c>
      <c r="G173" s="6" t="s">
        <v>62</v>
      </c>
      <c r="H173" s="7">
        <v>45403</v>
      </c>
      <c r="I173" s="7">
        <v>45922</v>
      </c>
      <c r="J173" s="8">
        <v>179000</v>
      </c>
      <c r="K173" s="6">
        <v>4</v>
      </c>
      <c r="L173" s="7">
        <v>28761</v>
      </c>
    </row>
    <row r="174" spans="1:12" x14ac:dyDescent="0.35">
      <c r="A174" s="6">
        <v>1173</v>
      </c>
      <c r="B174" s="6" t="s">
        <v>147</v>
      </c>
      <c r="C174" s="6" t="s">
        <v>50</v>
      </c>
      <c r="D174" s="6" t="s">
        <v>42</v>
      </c>
      <c r="E174" s="6" t="s">
        <v>56</v>
      </c>
      <c r="F174" s="6" t="s">
        <v>57</v>
      </c>
      <c r="G174" s="6" t="s">
        <v>33</v>
      </c>
      <c r="H174" s="7">
        <v>44867</v>
      </c>
      <c r="I174" s="7"/>
      <c r="J174" s="8">
        <v>215000</v>
      </c>
      <c r="K174" s="6">
        <v>3</v>
      </c>
      <c r="L174" s="7">
        <v>29880</v>
      </c>
    </row>
    <row r="175" spans="1:12" x14ac:dyDescent="0.35">
      <c r="A175" s="6">
        <v>1174</v>
      </c>
      <c r="B175" s="6" t="s">
        <v>146</v>
      </c>
      <c r="C175" s="6" t="s">
        <v>63</v>
      </c>
      <c r="D175" s="6" t="s">
        <v>30</v>
      </c>
      <c r="E175" s="6" t="s">
        <v>88</v>
      </c>
      <c r="F175" s="6" t="s">
        <v>89</v>
      </c>
      <c r="G175" s="6" t="s">
        <v>62</v>
      </c>
      <c r="H175" s="7">
        <v>43203</v>
      </c>
      <c r="I175" s="7"/>
      <c r="J175" s="8">
        <v>146000</v>
      </c>
      <c r="K175" s="6">
        <v>4</v>
      </c>
      <c r="L175" s="7">
        <v>32745</v>
      </c>
    </row>
    <row r="176" spans="1:12" x14ac:dyDescent="0.35">
      <c r="A176" s="6">
        <v>1175</v>
      </c>
      <c r="B176" s="6" t="s">
        <v>147</v>
      </c>
      <c r="C176" s="6" t="s">
        <v>160</v>
      </c>
      <c r="D176" s="6" t="s">
        <v>42</v>
      </c>
      <c r="E176" s="6" t="s">
        <v>75</v>
      </c>
      <c r="F176" s="6" t="s">
        <v>57</v>
      </c>
      <c r="G176" s="6" t="s">
        <v>39</v>
      </c>
      <c r="H176" s="7">
        <v>42523</v>
      </c>
      <c r="I176" s="7">
        <v>44357</v>
      </c>
      <c r="J176" s="8">
        <v>191000</v>
      </c>
      <c r="K176" s="6">
        <v>2</v>
      </c>
      <c r="L176" s="7">
        <v>35718</v>
      </c>
    </row>
    <row r="177" spans="1:12" x14ac:dyDescent="0.35">
      <c r="A177" s="6">
        <v>1176</v>
      </c>
      <c r="B177" s="6" t="s">
        <v>64</v>
      </c>
      <c r="C177" s="6" t="s">
        <v>29</v>
      </c>
      <c r="D177" s="6" t="s">
        <v>42</v>
      </c>
      <c r="E177" s="6" t="s">
        <v>65</v>
      </c>
      <c r="F177" s="6" t="s">
        <v>66</v>
      </c>
      <c r="G177" s="6" t="s">
        <v>33</v>
      </c>
      <c r="H177" s="7">
        <v>43569</v>
      </c>
      <c r="I177" s="7"/>
      <c r="J177" s="8">
        <v>206000</v>
      </c>
      <c r="K177" s="6"/>
      <c r="L177" s="7">
        <v>28035</v>
      </c>
    </row>
    <row r="178" spans="1:12" x14ac:dyDescent="0.35">
      <c r="A178" s="6">
        <v>1177</v>
      </c>
      <c r="B178" s="6" t="s">
        <v>83</v>
      </c>
      <c r="C178" s="6" t="s">
        <v>122</v>
      </c>
      <c r="D178" s="6" t="s">
        <v>36</v>
      </c>
      <c r="E178" s="6" t="s">
        <v>56</v>
      </c>
      <c r="F178" s="6" t="s">
        <v>120</v>
      </c>
      <c r="G178" s="6" t="s">
        <v>33</v>
      </c>
      <c r="H178" s="7">
        <v>44344</v>
      </c>
      <c r="I178" s="7"/>
      <c r="J178" s="8">
        <v>163000</v>
      </c>
      <c r="K178" s="6">
        <v>4</v>
      </c>
      <c r="L178" s="7">
        <v>29514</v>
      </c>
    </row>
    <row r="179" spans="1:12" x14ac:dyDescent="0.35">
      <c r="A179" s="6">
        <v>1178</v>
      </c>
      <c r="B179" s="6" t="s">
        <v>175</v>
      </c>
      <c r="C179" s="6" t="s">
        <v>122</v>
      </c>
      <c r="D179" s="6" t="s">
        <v>42</v>
      </c>
      <c r="E179" s="6" t="s">
        <v>79</v>
      </c>
      <c r="F179" s="6" t="s">
        <v>133</v>
      </c>
      <c r="G179" s="6" t="s">
        <v>33</v>
      </c>
      <c r="H179" s="7">
        <v>43182</v>
      </c>
      <c r="I179" s="7"/>
      <c r="J179" s="8">
        <v>556000</v>
      </c>
      <c r="K179" s="6">
        <v>3</v>
      </c>
      <c r="L179" s="7">
        <v>33254</v>
      </c>
    </row>
    <row r="180" spans="1:12" x14ac:dyDescent="0.35">
      <c r="A180" s="6">
        <v>1179</v>
      </c>
      <c r="B180" s="6" t="s">
        <v>176</v>
      </c>
      <c r="C180" s="6" t="s">
        <v>124</v>
      </c>
      <c r="D180" s="6" t="s">
        <v>36</v>
      </c>
      <c r="E180" s="6" t="s">
        <v>47</v>
      </c>
      <c r="F180" s="6" t="s">
        <v>101</v>
      </c>
      <c r="G180" s="6" t="s">
        <v>33</v>
      </c>
      <c r="H180" s="7">
        <v>45607</v>
      </c>
      <c r="I180" s="7"/>
      <c r="J180" s="8">
        <v>114000</v>
      </c>
      <c r="K180" s="6">
        <v>2</v>
      </c>
      <c r="L180" s="7">
        <v>30643</v>
      </c>
    </row>
    <row r="181" spans="1:12" x14ac:dyDescent="0.35">
      <c r="A181" s="6">
        <v>1180</v>
      </c>
      <c r="B181" s="6" t="s">
        <v>116</v>
      </c>
      <c r="C181" s="6" t="s">
        <v>142</v>
      </c>
      <c r="D181" s="6" t="s">
        <v>36</v>
      </c>
      <c r="E181" s="6" t="s">
        <v>47</v>
      </c>
      <c r="F181" s="6" t="s">
        <v>101</v>
      </c>
      <c r="G181" s="6" t="s">
        <v>33</v>
      </c>
      <c r="H181" s="7">
        <v>42793</v>
      </c>
      <c r="I181" s="7">
        <v>43792</v>
      </c>
      <c r="J181" s="8">
        <v>114000</v>
      </c>
      <c r="K181" s="6">
        <v>4</v>
      </c>
      <c r="L181" s="7">
        <v>34836</v>
      </c>
    </row>
    <row r="182" spans="1:12" x14ac:dyDescent="0.35">
      <c r="A182" s="6">
        <v>1006</v>
      </c>
      <c r="B182" s="6" t="s">
        <v>53</v>
      </c>
      <c r="C182" s="6" t="s">
        <v>46</v>
      </c>
      <c r="D182" s="6" t="s">
        <v>54</v>
      </c>
      <c r="E182" s="6" t="s">
        <v>37</v>
      </c>
      <c r="F182" s="6" t="s">
        <v>38</v>
      </c>
      <c r="G182" s="6" t="s">
        <v>33</v>
      </c>
      <c r="H182" s="7">
        <v>43824</v>
      </c>
      <c r="I182" s="7"/>
      <c r="J182" s="8">
        <v>130000</v>
      </c>
      <c r="K182" s="6">
        <v>4</v>
      </c>
      <c r="L182" s="7">
        <v>36398</v>
      </c>
    </row>
    <row r="183" spans="1:12" x14ac:dyDescent="0.35">
      <c r="A183" s="6">
        <v>1041</v>
      </c>
      <c r="B183" s="6" t="s">
        <v>117</v>
      </c>
      <c r="C183" s="6" t="s">
        <v>41</v>
      </c>
      <c r="D183" s="6" t="s">
        <v>36</v>
      </c>
      <c r="E183" s="6" t="s">
        <v>51</v>
      </c>
      <c r="F183" s="6" t="s">
        <v>52</v>
      </c>
      <c r="G183" s="6" t="s">
        <v>113</v>
      </c>
      <c r="H183" s="7">
        <v>42636</v>
      </c>
      <c r="I183" s="7">
        <v>45574</v>
      </c>
      <c r="J183" s="8">
        <v>185000</v>
      </c>
      <c r="K183" s="6">
        <v>2</v>
      </c>
      <c r="L183" s="7">
        <v>29452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0D2-4FB6-4A2F-B455-E8A7253F259A}">
  <dimension ref="A1:U181"/>
  <sheetViews>
    <sheetView tabSelected="1" topLeftCell="G1" workbookViewId="0">
      <selection activeCell="K2" sqref="K2"/>
    </sheetView>
  </sheetViews>
  <sheetFormatPr defaultRowHeight="14.5" x14ac:dyDescent="0.35"/>
  <cols>
    <col min="1" max="1" width="12.90625" customWidth="1"/>
    <col min="2" max="2" width="12.08984375" bestFit="1" customWidth="1"/>
    <col min="3" max="3" width="11.81640625" bestFit="1" customWidth="1"/>
    <col min="4" max="4" width="9.26953125" bestFit="1" customWidth="1"/>
    <col min="5" max="5" width="12.54296875" customWidth="1"/>
    <col min="6" max="6" width="10.7265625" customWidth="1"/>
    <col min="7" max="7" width="12.08984375" bestFit="1" customWidth="1"/>
    <col min="8" max="8" width="21.36328125" bestFit="1" customWidth="1"/>
    <col min="9" max="12" width="21.36328125" customWidth="1"/>
    <col min="13" max="13" width="19.81640625" bestFit="1" customWidth="1"/>
    <col min="14" max="14" width="13.81640625" style="10" customWidth="1"/>
    <col min="15" max="15" width="12.1796875" customWidth="1"/>
    <col min="16" max="16" width="19.6328125" bestFit="1" customWidth="1"/>
    <col min="17" max="17" width="6.1796875" bestFit="1" customWidth="1"/>
    <col min="18" max="18" width="16.08984375" bestFit="1" customWidth="1"/>
    <col min="19" max="19" width="14.453125" bestFit="1" customWidth="1"/>
    <col min="20" max="20" width="11" bestFit="1" customWidth="1"/>
    <col min="21" max="21" width="10.6328125" bestFit="1" customWidth="1"/>
  </cols>
  <sheetData>
    <row r="1" spans="1:21" x14ac:dyDescent="0.35">
      <c r="A1" t="s">
        <v>4</v>
      </c>
      <c r="B1" t="s">
        <v>26</v>
      </c>
      <c r="C1" t="s">
        <v>27</v>
      </c>
      <c r="D1" t="s">
        <v>8</v>
      </c>
      <c r="E1" t="s">
        <v>10</v>
      </c>
      <c r="F1" t="s">
        <v>12</v>
      </c>
      <c r="G1" t="s">
        <v>14</v>
      </c>
      <c r="H1" t="s">
        <v>20</v>
      </c>
      <c r="I1" t="s">
        <v>379</v>
      </c>
      <c r="J1" t="s">
        <v>376</v>
      </c>
      <c r="K1" t="s">
        <v>377</v>
      </c>
      <c r="L1" t="s">
        <v>378</v>
      </c>
      <c r="M1" t="s">
        <v>22</v>
      </c>
      <c r="N1" s="10" t="s">
        <v>24</v>
      </c>
      <c r="O1" t="s">
        <v>195</v>
      </c>
      <c r="P1" t="s">
        <v>196</v>
      </c>
      <c r="Q1" t="s">
        <v>197</v>
      </c>
      <c r="R1" t="s">
        <v>198</v>
      </c>
      <c r="S1" t="s">
        <v>199</v>
      </c>
      <c r="T1" t="s">
        <v>16</v>
      </c>
      <c r="U1" t="s">
        <v>18</v>
      </c>
    </row>
    <row r="2" spans="1:21" x14ac:dyDescent="0.35">
      <c r="A2">
        <v>1001</v>
      </c>
      <c r="B2" t="s">
        <v>28</v>
      </c>
      <c r="C2" t="s">
        <v>29</v>
      </c>
      <c r="D2" t="s">
        <v>42</v>
      </c>
      <c r="E2" t="s">
        <v>79</v>
      </c>
      <c r="F2" t="s">
        <v>32</v>
      </c>
      <c r="G2" t="s">
        <v>33</v>
      </c>
      <c r="H2">
        <v>180000</v>
      </c>
      <c r="I2" t="str">
        <f>_xlfn.XLOOKUP(F2,'Grade Bands'!$A$2:$A$31,'Grade Bands'!$B$2:$B$31,"Not Found")</f>
        <v>Officer</v>
      </c>
      <c r="J2">
        <f>_xlfn.XLOOKUP(F2,'Grade Bands'!$A$2:$A$31,'Grade Bands'!$C$2:$C$31,"Not Found")</f>
        <v>110000</v>
      </c>
      <c r="K2">
        <f>_xlfn.XLOOKUP(F2,'Grade Bands'!$A$2:$A$31,'Grade Bands'!$D$2:$D$31,"Not Found")</f>
        <v>230000</v>
      </c>
      <c r="L2" t="str">
        <f t="shared" ref="L2:L33" si="0">IF(AND(H2&gt;=J2,H2&lt;=K2),"Within Band","Outside Band")</f>
        <v>Within Band</v>
      </c>
      <c r="M2">
        <v>4</v>
      </c>
      <c r="N2" s="10">
        <v>31611</v>
      </c>
      <c r="O2" t="s">
        <v>200</v>
      </c>
      <c r="P2" t="s">
        <v>201</v>
      </c>
      <c r="Q2">
        <v>40</v>
      </c>
      <c r="R2">
        <v>9</v>
      </c>
      <c r="S2">
        <v>2160000</v>
      </c>
      <c r="T2" s="10">
        <v>42938</v>
      </c>
      <c r="U2" s="10"/>
    </row>
    <row r="3" spans="1:21" x14ac:dyDescent="0.35">
      <c r="A3">
        <v>1002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166000</v>
      </c>
      <c r="I3" t="str">
        <f>_xlfn.XLOOKUP(F3,'Grade Bands'!$A$2:$A$31,'Grade Bands'!$B$2:$B$31,"Not Found")</f>
        <v>Officer</v>
      </c>
      <c r="J3">
        <f>_xlfn.XLOOKUP(F3,'Grade Bands'!$A$2:$A$31,'Grade Bands'!$C$2:$C$31,"Not Found")</f>
        <v>110000</v>
      </c>
      <c r="K3">
        <f>_xlfn.XLOOKUP(F3,'Grade Bands'!$A$2:$A$31,'Grade Bands'!$D$2:$D$31,"Not Found")</f>
        <v>230000</v>
      </c>
      <c r="L3" t="str">
        <f t="shared" si="0"/>
        <v>Within Band</v>
      </c>
      <c r="M3">
        <v>4</v>
      </c>
      <c r="N3" s="10">
        <v>32195</v>
      </c>
      <c r="O3" t="s">
        <v>202</v>
      </c>
      <c r="P3" t="s">
        <v>201</v>
      </c>
      <c r="Q3">
        <v>38</v>
      </c>
      <c r="R3">
        <v>10</v>
      </c>
      <c r="S3">
        <v>1992000</v>
      </c>
      <c r="T3" s="10">
        <v>42475</v>
      </c>
      <c r="U3" s="10"/>
    </row>
    <row r="4" spans="1:21" x14ac:dyDescent="0.35">
      <c r="A4">
        <v>1003</v>
      </c>
      <c r="B4" t="s">
        <v>40</v>
      </c>
      <c r="C4" t="s">
        <v>41</v>
      </c>
      <c r="D4" t="s">
        <v>42</v>
      </c>
      <c r="E4" t="s">
        <v>37</v>
      </c>
      <c r="F4" t="s">
        <v>43</v>
      </c>
      <c r="G4" t="s">
        <v>44</v>
      </c>
      <c r="H4">
        <v>180000</v>
      </c>
      <c r="I4" t="str">
        <f>_xlfn.XLOOKUP(F4,'Grade Bands'!$A$2:$A$31,'Grade Bands'!$B$2:$B$31,"Not Found")</f>
        <v>Senior</v>
      </c>
      <c r="J4">
        <f>_xlfn.XLOOKUP(F4,'Grade Bands'!$A$2:$A$31,'Grade Bands'!$C$2:$C$31,"Not Found")</f>
        <v>220000</v>
      </c>
      <c r="K4">
        <f>_xlfn.XLOOKUP(F4,'Grade Bands'!$A$2:$A$31,'Grade Bands'!$D$2:$D$31,"Not Found")</f>
        <v>360000</v>
      </c>
      <c r="L4" t="str">
        <f t="shared" si="0"/>
        <v>Outside Band</v>
      </c>
      <c r="M4">
        <v>3</v>
      </c>
      <c r="N4" s="10">
        <v>35812</v>
      </c>
      <c r="O4" t="s">
        <v>203</v>
      </c>
      <c r="P4" t="s">
        <v>201</v>
      </c>
      <c r="Q4">
        <v>28</v>
      </c>
      <c r="R4">
        <v>5</v>
      </c>
      <c r="S4">
        <v>2160000</v>
      </c>
      <c r="T4" s="10">
        <v>44193</v>
      </c>
      <c r="U4" s="10"/>
    </row>
    <row r="5" spans="1:21" x14ac:dyDescent="0.35">
      <c r="A5">
        <v>1004</v>
      </c>
      <c r="B5" t="s">
        <v>45</v>
      </c>
      <c r="C5" t="s">
        <v>46</v>
      </c>
      <c r="D5" t="s">
        <v>42</v>
      </c>
      <c r="E5" t="s">
        <v>47</v>
      </c>
      <c r="F5" t="s">
        <v>48</v>
      </c>
      <c r="G5" t="s">
        <v>33</v>
      </c>
      <c r="H5">
        <v>197000</v>
      </c>
      <c r="I5" t="str">
        <f>_xlfn.XLOOKUP(F5,'Grade Bands'!$A$2:$A$31,'Grade Bands'!$B$2:$B$31,"Not Found")</f>
        <v>Officer</v>
      </c>
      <c r="J5">
        <f>_xlfn.XLOOKUP(F5,'Grade Bands'!$A$2:$A$31,'Grade Bands'!$C$2:$C$31,"Not Found")</f>
        <v>110000</v>
      </c>
      <c r="K5">
        <f>_xlfn.XLOOKUP(F5,'Grade Bands'!$A$2:$A$31,'Grade Bands'!$D$2:$D$31,"Not Found")</f>
        <v>230000</v>
      </c>
      <c r="L5" t="str">
        <f t="shared" si="0"/>
        <v>Within Band</v>
      </c>
      <c r="M5">
        <v>3</v>
      </c>
      <c r="N5" s="10">
        <v>34845</v>
      </c>
      <c r="O5" t="s">
        <v>204</v>
      </c>
      <c r="P5" t="s">
        <v>201</v>
      </c>
      <c r="Q5">
        <v>31</v>
      </c>
      <c r="R5">
        <v>10</v>
      </c>
      <c r="S5">
        <v>2364000</v>
      </c>
      <c r="T5" s="10">
        <v>42547</v>
      </c>
      <c r="U5" s="10"/>
    </row>
    <row r="6" spans="1:21" x14ac:dyDescent="0.35">
      <c r="A6">
        <v>1005</v>
      </c>
      <c r="B6" t="s">
        <v>49</v>
      </c>
      <c r="C6" t="s">
        <v>50</v>
      </c>
      <c r="D6" t="s">
        <v>42</v>
      </c>
      <c r="E6" t="s">
        <v>51</v>
      </c>
      <c r="F6" t="s">
        <v>52</v>
      </c>
      <c r="G6" t="s">
        <v>33</v>
      </c>
      <c r="H6">
        <v>113000</v>
      </c>
      <c r="I6" t="str">
        <f>_xlfn.XLOOKUP(F6,'Grade Bands'!$A$2:$A$31,'Grade Bands'!$B$2:$B$31,"Not Found")</f>
        <v>Officer</v>
      </c>
      <c r="J6">
        <f>_xlfn.XLOOKUP(F6,'Grade Bands'!$A$2:$A$31,'Grade Bands'!$C$2:$C$31,"Not Found")</f>
        <v>110000</v>
      </c>
      <c r="K6">
        <f>_xlfn.XLOOKUP(F6,'Grade Bands'!$A$2:$A$31,'Grade Bands'!$D$2:$D$31,"Not Found")</f>
        <v>230000</v>
      </c>
      <c r="L6" t="str">
        <f t="shared" si="0"/>
        <v>Within Band</v>
      </c>
      <c r="M6">
        <v>3</v>
      </c>
      <c r="N6" s="10">
        <v>34826</v>
      </c>
      <c r="O6" t="s">
        <v>205</v>
      </c>
      <c r="P6" t="s">
        <v>206</v>
      </c>
      <c r="Q6">
        <v>31</v>
      </c>
      <c r="R6">
        <v>4</v>
      </c>
      <c r="S6">
        <v>1356000</v>
      </c>
      <c r="T6" s="10">
        <v>43836</v>
      </c>
      <c r="U6" s="10">
        <v>45658</v>
      </c>
    </row>
    <row r="7" spans="1:21" x14ac:dyDescent="0.35">
      <c r="A7">
        <v>1006</v>
      </c>
      <c r="B7" t="s">
        <v>53</v>
      </c>
      <c r="C7" t="s">
        <v>46</v>
      </c>
      <c r="D7" t="s">
        <v>36</v>
      </c>
      <c r="E7" t="s">
        <v>37</v>
      </c>
      <c r="F7" t="s">
        <v>38</v>
      </c>
      <c r="G7" t="s">
        <v>33</v>
      </c>
      <c r="H7">
        <v>130000</v>
      </c>
      <c r="I7" t="str">
        <f>_xlfn.XLOOKUP(F7,'Grade Bands'!$A$2:$A$31,'Grade Bands'!$B$2:$B$31,"Not Found")</f>
        <v>Officer</v>
      </c>
      <c r="J7">
        <f>_xlfn.XLOOKUP(F7,'Grade Bands'!$A$2:$A$31,'Grade Bands'!$C$2:$C$31,"Not Found")</f>
        <v>110000</v>
      </c>
      <c r="K7">
        <f>_xlfn.XLOOKUP(F7,'Grade Bands'!$A$2:$A$31,'Grade Bands'!$D$2:$D$31,"Not Found")</f>
        <v>230000</v>
      </c>
      <c r="L7" t="str">
        <f t="shared" si="0"/>
        <v>Within Band</v>
      </c>
      <c r="M7">
        <v>4</v>
      </c>
      <c r="N7" s="10">
        <v>36398</v>
      </c>
      <c r="O7" t="s">
        <v>207</v>
      </c>
      <c r="P7" t="s">
        <v>201</v>
      </c>
      <c r="Q7">
        <v>26</v>
      </c>
      <c r="R7">
        <v>6</v>
      </c>
      <c r="S7">
        <v>1560000</v>
      </c>
      <c r="T7" s="10">
        <v>43824</v>
      </c>
      <c r="U7" s="10"/>
    </row>
    <row r="8" spans="1:21" x14ac:dyDescent="0.35">
      <c r="A8">
        <v>1007</v>
      </c>
      <c r="B8" t="s">
        <v>55</v>
      </c>
      <c r="C8" t="s">
        <v>50</v>
      </c>
      <c r="D8" t="s">
        <v>42</v>
      </c>
      <c r="E8" t="s">
        <v>56</v>
      </c>
      <c r="F8" t="s">
        <v>57</v>
      </c>
      <c r="G8" t="s">
        <v>33</v>
      </c>
      <c r="H8">
        <v>212000</v>
      </c>
      <c r="I8" t="str">
        <f>_xlfn.XLOOKUP(F8,'Grade Bands'!$A$2:$A$31,'Grade Bands'!$B$2:$B$31,"Not Found")</f>
        <v>Senior</v>
      </c>
      <c r="J8">
        <f>_xlfn.XLOOKUP(F8,'Grade Bands'!$A$2:$A$31,'Grade Bands'!$C$2:$C$31,"Not Found")</f>
        <v>220000</v>
      </c>
      <c r="K8">
        <f>_xlfn.XLOOKUP(F8,'Grade Bands'!$A$2:$A$31,'Grade Bands'!$D$2:$D$31,"Not Found")</f>
        <v>360000</v>
      </c>
      <c r="L8" t="str">
        <f t="shared" si="0"/>
        <v>Outside Band</v>
      </c>
      <c r="M8">
        <v>3</v>
      </c>
      <c r="N8" s="10">
        <v>27615</v>
      </c>
      <c r="O8" t="s">
        <v>208</v>
      </c>
      <c r="P8" t="s">
        <v>201</v>
      </c>
      <c r="Q8">
        <v>50</v>
      </c>
      <c r="R8">
        <v>4</v>
      </c>
      <c r="S8">
        <v>2544000</v>
      </c>
      <c r="T8" s="10">
        <v>44428</v>
      </c>
      <c r="U8" s="10"/>
    </row>
    <row r="9" spans="1:21" x14ac:dyDescent="0.35">
      <c r="A9">
        <v>1008</v>
      </c>
      <c r="B9" t="s">
        <v>58</v>
      </c>
      <c r="C9" t="s">
        <v>59</v>
      </c>
      <c r="D9" t="s">
        <v>42</v>
      </c>
      <c r="E9" t="s">
        <v>51</v>
      </c>
      <c r="F9" t="s">
        <v>52</v>
      </c>
      <c r="G9" t="s">
        <v>39</v>
      </c>
      <c r="H9">
        <v>164000</v>
      </c>
      <c r="I9" t="str">
        <f>_xlfn.XLOOKUP(F9,'Grade Bands'!$A$2:$A$31,'Grade Bands'!$B$2:$B$31,"Not Found")</f>
        <v>Officer</v>
      </c>
      <c r="J9">
        <f>_xlfn.XLOOKUP(F9,'Grade Bands'!$A$2:$A$31,'Grade Bands'!$C$2:$C$31,"Not Found")</f>
        <v>110000</v>
      </c>
      <c r="K9">
        <f>_xlfn.XLOOKUP(F9,'Grade Bands'!$A$2:$A$31,'Grade Bands'!$D$2:$D$31,"Not Found")</f>
        <v>230000</v>
      </c>
      <c r="L9" t="str">
        <f t="shared" si="0"/>
        <v>Within Band</v>
      </c>
      <c r="M9">
        <v>3</v>
      </c>
      <c r="N9" s="10">
        <v>33528</v>
      </c>
      <c r="O9" t="s">
        <v>209</v>
      </c>
      <c r="P9" t="s">
        <v>201</v>
      </c>
      <c r="Q9">
        <v>34</v>
      </c>
      <c r="R9">
        <v>3</v>
      </c>
      <c r="S9">
        <v>1968000</v>
      </c>
      <c r="T9" s="10">
        <v>45109</v>
      </c>
      <c r="U9" s="10"/>
    </row>
    <row r="10" spans="1:21" x14ac:dyDescent="0.35">
      <c r="A10">
        <v>1009</v>
      </c>
      <c r="B10" t="s">
        <v>49</v>
      </c>
      <c r="C10" t="s">
        <v>60</v>
      </c>
      <c r="D10" t="s">
        <v>42</v>
      </c>
      <c r="E10" t="s">
        <v>51</v>
      </c>
      <c r="F10" t="s">
        <v>61</v>
      </c>
      <c r="G10" t="s">
        <v>62</v>
      </c>
      <c r="H10">
        <v>317000</v>
      </c>
      <c r="I10" t="str">
        <f>_xlfn.XLOOKUP(F10,'Grade Bands'!$A$2:$A$31,'Grade Bands'!$B$2:$B$31,"Not Found")</f>
        <v>Lead/Manager</v>
      </c>
      <c r="J10">
        <f>_xlfn.XLOOKUP(F10,'Grade Bands'!$A$2:$A$31,'Grade Bands'!$C$2:$C$31,"Not Found")</f>
        <v>360000</v>
      </c>
      <c r="K10">
        <f>_xlfn.XLOOKUP(F10,'Grade Bands'!$A$2:$A$31,'Grade Bands'!$D$2:$D$31,"Not Found")</f>
        <v>650000</v>
      </c>
      <c r="L10" t="str">
        <f t="shared" si="0"/>
        <v>Outside Band</v>
      </c>
      <c r="M10">
        <v>3</v>
      </c>
      <c r="N10" s="10">
        <v>30973</v>
      </c>
      <c r="O10" t="s">
        <v>210</v>
      </c>
      <c r="P10" t="s">
        <v>206</v>
      </c>
      <c r="Q10">
        <v>41</v>
      </c>
      <c r="R10">
        <v>2</v>
      </c>
      <c r="S10">
        <v>3804000</v>
      </c>
      <c r="T10" s="10">
        <v>44406</v>
      </c>
      <c r="U10" s="10">
        <v>45275</v>
      </c>
    </row>
    <row r="11" spans="1:21" x14ac:dyDescent="0.35">
      <c r="A11">
        <v>1010</v>
      </c>
      <c r="B11" t="s">
        <v>58</v>
      </c>
      <c r="C11" t="s">
        <v>63</v>
      </c>
      <c r="D11" t="s">
        <v>42</v>
      </c>
      <c r="E11" t="s">
        <v>56</v>
      </c>
      <c r="F11" t="s">
        <v>57</v>
      </c>
      <c r="G11" t="s">
        <v>44</v>
      </c>
      <c r="H11">
        <v>167000</v>
      </c>
      <c r="I11" t="str">
        <f>_xlfn.XLOOKUP(F11,'Grade Bands'!$A$2:$A$31,'Grade Bands'!$B$2:$B$31,"Not Found")</f>
        <v>Senior</v>
      </c>
      <c r="J11">
        <f>_xlfn.XLOOKUP(F11,'Grade Bands'!$A$2:$A$31,'Grade Bands'!$C$2:$C$31,"Not Found")</f>
        <v>220000</v>
      </c>
      <c r="K11">
        <f>_xlfn.XLOOKUP(F11,'Grade Bands'!$A$2:$A$31,'Grade Bands'!$D$2:$D$31,"Not Found")</f>
        <v>360000</v>
      </c>
      <c r="L11" t="str">
        <f t="shared" si="0"/>
        <v>Outside Band</v>
      </c>
      <c r="M11">
        <v>4</v>
      </c>
      <c r="N11" s="10">
        <v>27973</v>
      </c>
      <c r="O11" t="s">
        <v>211</v>
      </c>
      <c r="P11" t="s">
        <v>201</v>
      </c>
      <c r="Q11">
        <v>50</v>
      </c>
      <c r="R11">
        <v>9</v>
      </c>
      <c r="S11">
        <v>2004000</v>
      </c>
      <c r="T11" s="10">
        <v>42925</v>
      </c>
      <c r="U11" s="10"/>
    </row>
    <row r="12" spans="1:21" x14ac:dyDescent="0.35">
      <c r="A12">
        <v>1011</v>
      </c>
      <c r="B12" t="s">
        <v>64</v>
      </c>
      <c r="C12" t="s">
        <v>46</v>
      </c>
      <c r="D12" t="s">
        <v>42</v>
      </c>
      <c r="E12" t="s">
        <v>65</v>
      </c>
      <c r="F12" t="s">
        <v>66</v>
      </c>
      <c r="G12" t="s">
        <v>62</v>
      </c>
      <c r="H12">
        <v>196000</v>
      </c>
      <c r="I12" t="str">
        <f>_xlfn.XLOOKUP(F12,'Grade Bands'!$A$2:$A$31,'Grade Bands'!$B$2:$B$31,"Not Found")</f>
        <v>Officer</v>
      </c>
      <c r="J12">
        <f>_xlfn.XLOOKUP(F12,'Grade Bands'!$A$2:$A$31,'Grade Bands'!$C$2:$C$31,"Not Found")</f>
        <v>110000</v>
      </c>
      <c r="K12">
        <f>_xlfn.XLOOKUP(F12,'Grade Bands'!$A$2:$A$31,'Grade Bands'!$D$2:$D$31,"Not Found")</f>
        <v>230000</v>
      </c>
      <c r="L12" t="str">
        <f t="shared" si="0"/>
        <v>Within Band</v>
      </c>
      <c r="M12">
        <v>1</v>
      </c>
      <c r="N12" s="10">
        <v>33623</v>
      </c>
      <c r="O12" t="s">
        <v>212</v>
      </c>
      <c r="P12" t="s">
        <v>206</v>
      </c>
      <c r="Q12">
        <v>34</v>
      </c>
      <c r="R12">
        <v>2</v>
      </c>
      <c r="S12">
        <v>2352000</v>
      </c>
      <c r="T12" s="10">
        <v>44345</v>
      </c>
      <c r="U12" s="10">
        <v>45416</v>
      </c>
    </row>
    <row r="13" spans="1:21" x14ac:dyDescent="0.35">
      <c r="A13">
        <v>1012</v>
      </c>
      <c r="B13" t="s">
        <v>34</v>
      </c>
      <c r="C13" t="s">
        <v>67</v>
      </c>
      <c r="D13" t="s">
        <v>36</v>
      </c>
      <c r="E13" t="s">
        <v>68</v>
      </c>
      <c r="F13" t="s">
        <v>69</v>
      </c>
      <c r="G13" t="s">
        <v>33</v>
      </c>
      <c r="H13">
        <v>140000</v>
      </c>
      <c r="I13" t="str">
        <f>_xlfn.XLOOKUP(F13,'Grade Bands'!$A$2:$A$31,'Grade Bands'!$B$2:$B$31,"Not Found")</f>
        <v>Officer</v>
      </c>
      <c r="J13">
        <f>_xlfn.XLOOKUP(F13,'Grade Bands'!$A$2:$A$31,'Grade Bands'!$C$2:$C$31,"Not Found")</f>
        <v>110000</v>
      </c>
      <c r="K13">
        <f>_xlfn.XLOOKUP(F13,'Grade Bands'!$A$2:$A$31,'Grade Bands'!$D$2:$D$31,"Not Found")</f>
        <v>230000</v>
      </c>
      <c r="L13" t="str">
        <f t="shared" si="0"/>
        <v>Within Band</v>
      </c>
      <c r="M13">
        <v>1</v>
      </c>
      <c r="N13" s="10">
        <v>31373</v>
      </c>
      <c r="O13" t="s">
        <v>213</v>
      </c>
      <c r="P13" t="s">
        <v>206</v>
      </c>
      <c r="Q13">
        <v>40</v>
      </c>
      <c r="R13">
        <v>1</v>
      </c>
      <c r="S13">
        <v>1680000</v>
      </c>
      <c r="T13" s="10">
        <v>45576</v>
      </c>
      <c r="U13" s="10">
        <v>46000</v>
      </c>
    </row>
    <row r="14" spans="1:21" x14ac:dyDescent="0.35">
      <c r="A14">
        <v>1013</v>
      </c>
      <c r="B14" t="s">
        <v>70</v>
      </c>
      <c r="C14" t="s">
        <v>71</v>
      </c>
      <c r="D14" t="s">
        <v>42</v>
      </c>
      <c r="E14" t="s">
        <v>47</v>
      </c>
      <c r="F14" t="s">
        <v>72</v>
      </c>
      <c r="G14" t="s">
        <v>33</v>
      </c>
      <c r="H14">
        <v>545000</v>
      </c>
      <c r="I14" t="str">
        <f>_xlfn.XLOOKUP(F14,'Grade Bands'!$A$2:$A$31,'Grade Bands'!$B$2:$B$31,"Not Found")</f>
        <v>Lead/Manager</v>
      </c>
      <c r="J14">
        <f>_xlfn.XLOOKUP(F14,'Grade Bands'!$A$2:$A$31,'Grade Bands'!$C$2:$C$31,"Not Found")</f>
        <v>360000</v>
      </c>
      <c r="K14">
        <f>_xlfn.XLOOKUP(F14,'Grade Bands'!$A$2:$A$31,'Grade Bands'!$D$2:$D$31,"Not Found")</f>
        <v>650000</v>
      </c>
      <c r="L14" t="str">
        <f t="shared" si="0"/>
        <v>Within Band</v>
      </c>
      <c r="M14">
        <v>4</v>
      </c>
      <c r="N14" s="10">
        <v>30917</v>
      </c>
      <c r="O14" t="s">
        <v>214</v>
      </c>
      <c r="P14" t="s">
        <v>201</v>
      </c>
      <c r="Q14">
        <v>41</v>
      </c>
      <c r="R14">
        <v>3</v>
      </c>
      <c r="S14">
        <v>6540000</v>
      </c>
      <c r="T14" s="10">
        <v>45122</v>
      </c>
      <c r="U14" s="10"/>
    </row>
    <row r="15" spans="1:21" x14ac:dyDescent="0.35">
      <c r="A15">
        <v>1014</v>
      </c>
      <c r="B15" t="s">
        <v>73</v>
      </c>
      <c r="C15" t="s">
        <v>50</v>
      </c>
      <c r="D15" t="s">
        <v>36</v>
      </c>
      <c r="E15" t="s">
        <v>51</v>
      </c>
      <c r="F15" t="s">
        <v>52</v>
      </c>
      <c r="G15" t="s">
        <v>44</v>
      </c>
      <c r="H15">
        <v>196000</v>
      </c>
      <c r="I15" t="str">
        <f>_xlfn.XLOOKUP(F15,'Grade Bands'!$A$2:$A$31,'Grade Bands'!$B$2:$B$31,"Not Found")</f>
        <v>Officer</v>
      </c>
      <c r="J15">
        <f>_xlfn.XLOOKUP(F15,'Grade Bands'!$A$2:$A$31,'Grade Bands'!$C$2:$C$31,"Not Found")</f>
        <v>110000</v>
      </c>
      <c r="K15">
        <f>_xlfn.XLOOKUP(F15,'Grade Bands'!$A$2:$A$31,'Grade Bands'!$D$2:$D$31,"Not Found")</f>
        <v>230000</v>
      </c>
      <c r="L15" t="str">
        <f t="shared" si="0"/>
        <v>Within Band</v>
      </c>
      <c r="M15">
        <v>3</v>
      </c>
      <c r="N15" s="10">
        <v>27876</v>
      </c>
      <c r="O15" t="s">
        <v>215</v>
      </c>
      <c r="P15" t="s">
        <v>201</v>
      </c>
      <c r="Q15">
        <v>50</v>
      </c>
      <c r="R15">
        <v>3</v>
      </c>
      <c r="S15">
        <v>2352000</v>
      </c>
      <c r="T15" s="10">
        <v>44823</v>
      </c>
      <c r="U15" s="10"/>
    </row>
    <row r="16" spans="1:21" x14ac:dyDescent="0.35">
      <c r="A16">
        <v>1015</v>
      </c>
      <c r="B16" t="s">
        <v>74</v>
      </c>
      <c r="C16" t="s">
        <v>46</v>
      </c>
      <c r="D16" t="s">
        <v>36</v>
      </c>
      <c r="E16" t="s">
        <v>56</v>
      </c>
      <c r="F16" t="s">
        <v>57</v>
      </c>
      <c r="G16" t="s">
        <v>33</v>
      </c>
      <c r="H16">
        <v>224000</v>
      </c>
      <c r="I16" t="str">
        <f>_xlfn.XLOOKUP(F16,'Grade Bands'!$A$2:$A$31,'Grade Bands'!$B$2:$B$31,"Not Found")</f>
        <v>Senior</v>
      </c>
      <c r="J16">
        <f>_xlfn.XLOOKUP(F16,'Grade Bands'!$A$2:$A$31,'Grade Bands'!$C$2:$C$31,"Not Found")</f>
        <v>220000</v>
      </c>
      <c r="K16">
        <f>_xlfn.XLOOKUP(F16,'Grade Bands'!$A$2:$A$31,'Grade Bands'!$D$2:$D$31,"Not Found")</f>
        <v>360000</v>
      </c>
      <c r="L16" t="str">
        <f t="shared" si="0"/>
        <v>Within Band</v>
      </c>
      <c r="M16">
        <v>4</v>
      </c>
      <c r="N16" s="10">
        <v>33362</v>
      </c>
      <c r="O16" t="s">
        <v>216</v>
      </c>
      <c r="P16" t="s">
        <v>201</v>
      </c>
      <c r="Q16">
        <v>35</v>
      </c>
      <c r="R16">
        <v>8</v>
      </c>
      <c r="S16">
        <v>2688000</v>
      </c>
      <c r="T16" s="10">
        <v>43241</v>
      </c>
      <c r="U16" s="10"/>
    </row>
    <row r="17" spans="1:21" x14ac:dyDescent="0.35">
      <c r="A17">
        <v>1016</v>
      </c>
      <c r="B17" t="s">
        <v>76</v>
      </c>
      <c r="C17" t="s">
        <v>77</v>
      </c>
      <c r="D17" t="s">
        <v>36</v>
      </c>
      <c r="E17" t="s">
        <v>68</v>
      </c>
      <c r="F17" t="s">
        <v>69</v>
      </c>
      <c r="G17" t="s">
        <v>62</v>
      </c>
      <c r="H17">
        <v>149000</v>
      </c>
      <c r="I17" t="str">
        <f>_xlfn.XLOOKUP(F17,'Grade Bands'!$A$2:$A$31,'Grade Bands'!$B$2:$B$31,"Not Found")</f>
        <v>Officer</v>
      </c>
      <c r="J17">
        <f>_xlfn.XLOOKUP(F17,'Grade Bands'!$A$2:$A$31,'Grade Bands'!$C$2:$C$31,"Not Found")</f>
        <v>110000</v>
      </c>
      <c r="K17">
        <f>_xlfn.XLOOKUP(F17,'Grade Bands'!$A$2:$A$31,'Grade Bands'!$D$2:$D$31,"Not Found")</f>
        <v>230000</v>
      </c>
      <c r="L17" t="str">
        <f t="shared" si="0"/>
        <v>Within Band</v>
      </c>
      <c r="M17">
        <v>4</v>
      </c>
      <c r="N17" s="10">
        <v>29946</v>
      </c>
      <c r="O17" t="s">
        <v>217</v>
      </c>
      <c r="P17" t="s">
        <v>201</v>
      </c>
      <c r="Q17">
        <v>44</v>
      </c>
      <c r="R17">
        <v>2</v>
      </c>
      <c r="S17">
        <v>1788000</v>
      </c>
      <c r="T17" s="10">
        <v>45382</v>
      </c>
      <c r="U17" s="10"/>
    </row>
    <row r="18" spans="1:21" x14ac:dyDescent="0.35">
      <c r="A18">
        <v>1017</v>
      </c>
      <c r="B18" t="s">
        <v>78</v>
      </c>
      <c r="C18" t="s">
        <v>50</v>
      </c>
      <c r="D18" t="s">
        <v>36</v>
      </c>
      <c r="E18" t="s">
        <v>79</v>
      </c>
      <c r="F18" t="s">
        <v>80</v>
      </c>
      <c r="G18" t="s">
        <v>33</v>
      </c>
      <c r="H18">
        <v>161000</v>
      </c>
      <c r="I18" t="str">
        <f>_xlfn.XLOOKUP(F18,'Grade Bands'!$A$2:$A$31,'Grade Bands'!$B$2:$B$31,"Not Found")</f>
        <v>Senior</v>
      </c>
      <c r="J18">
        <f>_xlfn.XLOOKUP(F18,'Grade Bands'!$A$2:$A$31,'Grade Bands'!$C$2:$C$31,"Not Found")</f>
        <v>220000</v>
      </c>
      <c r="K18">
        <f>_xlfn.XLOOKUP(F18,'Grade Bands'!$A$2:$A$31,'Grade Bands'!$D$2:$D$31,"Not Found")</f>
        <v>360000</v>
      </c>
      <c r="L18" t="str">
        <f t="shared" si="0"/>
        <v>Outside Band</v>
      </c>
      <c r="M18">
        <v>3</v>
      </c>
      <c r="N18" s="10">
        <v>32449</v>
      </c>
      <c r="O18" t="s">
        <v>218</v>
      </c>
      <c r="P18" t="s">
        <v>201</v>
      </c>
      <c r="Q18">
        <v>37</v>
      </c>
      <c r="R18">
        <v>9</v>
      </c>
      <c r="S18">
        <v>1932000</v>
      </c>
      <c r="T18" s="10">
        <v>42797</v>
      </c>
      <c r="U18" s="10"/>
    </row>
    <row r="19" spans="1:21" x14ac:dyDescent="0.35">
      <c r="A19">
        <v>1018</v>
      </c>
      <c r="B19" t="s">
        <v>81</v>
      </c>
      <c r="C19" t="s">
        <v>82</v>
      </c>
      <c r="D19" t="s">
        <v>36</v>
      </c>
      <c r="E19" t="s">
        <v>56</v>
      </c>
      <c r="F19" t="s">
        <v>57</v>
      </c>
      <c r="G19" t="s">
        <v>39</v>
      </c>
      <c r="H19">
        <v>204000</v>
      </c>
      <c r="I19" t="str">
        <f>_xlfn.XLOOKUP(F19,'Grade Bands'!$A$2:$A$31,'Grade Bands'!$B$2:$B$31,"Not Found")</f>
        <v>Senior</v>
      </c>
      <c r="J19">
        <f>_xlfn.XLOOKUP(F19,'Grade Bands'!$A$2:$A$31,'Grade Bands'!$C$2:$C$31,"Not Found")</f>
        <v>220000</v>
      </c>
      <c r="K19">
        <f>_xlfn.XLOOKUP(F19,'Grade Bands'!$A$2:$A$31,'Grade Bands'!$D$2:$D$31,"Not Found")</f>
        <v>360000</v>
      </c>
      <c r="L19" t="str">
        <f t="shared" si="0"/>
        <v>Outside Band</v>
      </c>
      <c r="M19">
        <v>5</v>
      </c>
      <c r="N19" s="10">
        <v>33997</v>
      </c>
      <c r="O19" t="s">
        <v>219</v>
      </c>
      <c r="P19" t="s">
        <v>201</v>
      </c>
      <c r="Q19">
        <v>33</v>
      </c>
      <c r="R19">
        <v>3</v>
      </c>
      <c r="S19">
        <v>2448000</v>
      </c>
      <c r="T19" s="10">
        <v>44904</v>
      </c>
      <c r="U19" s="10"/>
    </row>
    <row r="20" spans="1:21" x14ac:dyDescent="0.35">
      <c r="A20">
        <v>1019</v>
      </c>
      <c r="B20" t="s">
        <v>83</v>
      </c>
      <c r="C20" t="s">
        <v>59</v>
      </c>
      <c r="D20" t="s">
        <v>36</v>
      </c>
      <c r="E20" t="s">
        <v>65</v>
      </c>
      <c r="F20" t="s">
        <v>84</v>
      </c>
      <c r="G20" t="s">
        <v>44</v>
      </c>
      <c r="H20">
        <v>174000</v>
      </c>
      <c r="I20" t="str">
        <f>_xlfn.XLOOKUP(F20,'Grade Bands'!$A$2:$A$31,'Grade Bands'!$B$2:$B$31,"Not Found")</f>
        <v>Officer</v>
      </c>
      <c r="J20">
        <f>_xlfn.XLOOKUP(F20,'Grade Bands'!$A$2:$A$31,'Grade Bands'!$C$2:$C$31,"Not Found")</f>
        <v>110000</v>
      </c>
      <c r="K20">
        <f>_xlfn.XLOOKUP(F20,'Grade Bands'!$A$2:$A$31,'Grade Bands'!$D$2:$D$31,"Not Found")</f>
        <v>230000</v>
      </c>
      <c r="L20" t="str">
        <f t="shared" si="0"/>
        <v>Within Band</v>
      </c>
      <c r="M20">
        <v>3</v>
      </c>
      <c r="N20" s="10">
        <v>32862</v>
      </c>
      <c r="O20" t="s">
        <v>220</v>
      </c>
      <c r="P20" t="s">
        <v>201</v>
      </c>
      <c r="Q20">
        <v>36</v>
      </c>
      <c r="R20">
        <v>7</v>
      </c>
      <c r="S20">
        <v>2088000</v>
      </c>
      <c r="T20" s="10">
        <v>43358</v>
      </c>
      <c r="U20" s="10"/>
    </row>
    <row r="21" spans="1:21" x14ac:dyDescent="0.35">
      <c r="A21">
        <v>1020</v>
      </c>
      <c r="B21" t="s">
        <v>49</v>
      </c>
      <c r="C21" t="s">
        <v>59</v>
      </c>
      <c r="D21" t="s">
        <v>42</v>
      </c>
      <c r="E21" t="s">
        <v>68</v>
      </c>
      <c r="F21" t="s">
        <v>85</v>
      </c>
      <c r="G21" t="s">
        <v>62</v>
      </c>
      <c r="H21">
        <v>205000</v>
      </c>
      <c r="I21" t="str">
        <f>_xlfn.XLOOKUP(F21,'Grade Bands'!$A$2:$A$31,'Grade Bands'!$B$2:$B$31,"Not Found")</f>
        <v>Officer</v>
      </c>
      <c r="J21">
        <f>_xlfn.XLOOKUP(F21,'Grade Bands'!$A$2:$A$31,'Grade Bands'!$C$2:$C$31,"Not Found")</f>
        <v>110000</v>
      </c>
      <c r="K21">
        <f>_xlfn.XLOOKUP(F21,'Grade Bands'!$A$2:$A$31,'Grade Bands'!$D$2:$D$31,"Not Found")</f>
        <v>230000</v>
      </c>
      <c r="L21" t="str">
        <f t="shared" si="0"/>
        <v>Within Band</v>
      </c>
      <c r="M21">
        <v>3</v>
      </c>
      <c r="N21" s="10">
        <v>29886</v>
      </c>
      <c r="O21" t="s">
        <v>221</v>
      </c>
      <c r="P21" t="s">
        <v>201</v>
      </c>
      <c r="Q21">
        <v>44</v>
      </c>
      <c r="R21">
        <v>7</v>
      </c>
      <c r="S21">
        <v>2460000</v>
      </c>
      <c r="T21" s="10">
        <v>43637</v>
      </c>
      <c r="U21" s="10"/>
    </row>
    <row r="22" spans="1:21" x14ac:dyDescent="0.35">
      <c r="A22">
        <v>1021</v>
      </c>
      <c r="B22" t="s">
        <v>86</v>
      </c>
      <c r="C22" t="s">
        <v>87</v>
      </c>
      <c r="D22" t="s">
        <v>42</v>
      </c>
      <c r="E22" t="s">
        <v>88</v>
      </c>
      <c r="F22" t="s">
        <v>89</v>
      </c>
      <c r="G22" t="s">
        <v>39</v>
      </c>
      <c r="H22">
        <v>216000</v>
      </c>
      <c r="I22" t="str">
        <f>_xlfn.XLOOKUP(F22,'Grade Bands'!$A$2:$A$31,'Grade Bands'!$B$2:$B$31,"Not Found")</f>
        <v>Officer</v>
      </c>
      <c r="J22">
        <f>_xlfn.XLOOKUP(F22,'Grade Bands'!$A$2:$A$31,'Grade Bands'!$C$2:$C$31,"Not Found")</f>
        <v>110000</v>
      </c>
      <c r="K22">
        <f>_xlfn.XLOOKUP(F22,'Grade Bands'!$A$2:$A$31,'Grade Bands'!$D$2:$D$31,"Not Found")</f>
        <v>230000</v>
      </c>
      <c r="L22" t="str">
        <f t="shared" si="0"/>
        <v>Within Band</v>
      </c>
      <c r="M22">
        <v>4</v>
      </c>
      <c r="N22" s="10">
        <v>35840</v>
      </c>
      <c r="O22" t="s">
        <v>222</v>
      </c>
      <c r="P22" t="s">
        <v>201</v>
      </c>
      <c r="Q22">
        <v>28</v>
      </c>
      <c r="R22">
        <v>2</v>
      </c>
      <c r="S22">
        <v>2592000</v>
      </c>
      <c r="T22" s="10">
        <v>45356</v>
      </c>
      <c r="U22" s="10"/>
    </row>
    <row r="23" spans="1:21" x14ac:dyDescent="0.35">
      <c r="A23">
        <v>1022</v>
      </c>
      <c r="B23" t="s">
        <v>90</v>
      </c>
      <c r="C23" t="s">
        <v>91</v>
      </c>
      <c r="D23" t="s">
        <v>42</v>
      </c>
      <c r="E23" t="s">
        <v>37</v>
      </c>
      <c r="F23" t="s">
        <v>43</v>
      </c>
      <c r="G23" t="s">
        <v>33</v>
      </c>
      <c r="H23">
        <v>228000</v>
      </c>
      <c r="I23" t="str">
        <f>_xlfn.XLOOKUP(F23,'Grade Bands'!$A$2:$A$31,'Grade Bands'!$B$2:$B$31,"Not Found")</f>
        <v>Senior</v>
      </c>
      <c r="J23">
        <f>_xlfn.XLOOKUP(F23,'Grade Bands'!$A$2:$A$31,'Grade Bands'!$C$2:$C$31,"Not Found")</f>
        <v>220000</v>
      </c>
      <c r="K23">
        <f>_xlfn.XLOOKUP(F23,'Grade Bands'!$A$2:$A$31,'Grade Bands'!$D$2:$D$31,"Not Found")</f>
        <v>360000</v>
      </c>
      <c r="L23" t="str">
        <f t="shared" si="0"/>
        <v>Within Band</v>
      </c>
      <c r="M23">
        <v>4</v>
      </c>
      <c r="N23" s="10">
        <v>32315</v>
      </c>
      <c r="O23" t="s">
        <v>223</v>
      </c>
      <c r="P23" t="s">
        <v>206</v>
      </c>
      <c r="Q23">
        <v>38</v>
      </c>
      <c r="R23">
        <v>3</v>
      </c>
      <c r="S23">
        <v>2736000</v>
      </c>
      <c r="T23" s="10">
        <v>44525</v>
      </c>
      <c r="U23" s="10">
        <v>45698</v>
      </c>
    </row>
    <row r="24" spans="1:21" x14ac:dyDescent="0.35">
      <c r="A24">
        <v>1023</v>
      </c>
      <c r="B24" t="s">
        <v>92</v>
      </c>
      <c r="C24" t="s">
        <v>93</v>
      </c>
      <c r="D24" t="s">
        <v>42</v>
      </c>
      <c r="E24" t="s">
        <v>51</v>
      </c>
      <c r="F24" t="s">
        <v>52</v>
      </c>
      <c r="G24" t="s">
        <v>44</v>
      </c>
      <c r="H24">
        <v>174000</v>
      </c>
      <c r="I24" t="str">
        <f>_xlfn.XLOOKUP(F24,'Grade Bands'!$A$2:$A$31,'Grade Bands'!$B$2:$B$31,"Not Found")</f>
        <v>Officer</v>
      </c>
      <c r="J24">
        <f>_xlfn.XLOOKUP(F24,'Grade Bands'!$A$2:$A$31,'Grade Bands'!$C$2:$C$31,"Not Found")</f>
        <v>110000</v>
      </c>
      <c r="K24">
        <f>_xlfn.XLOOKUP(F24,'Grade Bands'!$A$2:$A$31,'Grade Bands'!$D$2:$D$31,"Not Found")</f>
        <v>230000</v>
      </c>
      <c r="L24" t="str">
        <f t="shared" si="0"/>
        <v>Within Band</v>
      </c>
      <c r="M24">
        <v>4</v>
      </c>
      <c r="N24" s="10">
        <v>36270</v>
      </c>
      <c r="O24" t="s">
        <v>224</v>
      </c>
      <c r="P24" t="s">
        <v>201</v>
      </c>
      <c r="Q24">
        <v>27</v>
      </c>
      <c r="R24">
        <v>5</v>
      </c>
      <c r="S24">
        <v>2088000</v>
      </c>
      <c r="T24" s="10">
        <v>44398</v>
      </c>
      <c r="U24" s="10"/>
    </row>
    <row r="25" spans="1:21" x14ac:dyDescent="0.35">
      <c r="A25">
        <v>1024</v>
      </c>
      <c r="B25" t="s">
        <v>95</v>
      </c>
      <c r="C25" t="s">
        <v>91</v>
      </c>
      <c r="D25" t="s">
        <v>42</v>
      </c>
      <c r="E25" t="s">
        <v>88</v>
      </c>
      <c r="F25" t="s">
        <v>96</v>
      </c>
      <c r="G25" t="s">
        <v>44</v>
      </c>
      <c r="H25">
        <v>516000</v>
      </c>
      <c r="I25" t="str">
        <f>_xlfn.XLOOKUP(F25,'Grade Bands'!$A$2:$A$31,'Grade Bands'!$B$2:$B$31,"Not Found")</f>
        <v>Lead/Manager</v>
      </c>
      <c r="J25">
        <f>_xlfn.XLOOKUP(F25,'Grade Bands'!$A$2:$A$31,'Grade Bands'!$C$2:$C$31,"Not Found")</f>
        <v>360000</v>
      </c>
      <c r="K25">
        <f>_xlfn.XLOOKUP(F25,'Grade Bands'!$A$2:$A$31,'Grade Bands'!$D$2:$D$31,"Not Found")</f>
        <v>650000</v>
      </c>
      <c r="L25" t="str">
        <f t="shared" si="0"/>
        <v>Within Band</v>
      </c>
      <c r="M25">
        <v>3</v>
      </c>
      <c r="N25" s="10">
        <v>32624</v>
      </c>
      <c r="O25" t="s">
        <v>225</v>
      </c>
      <c r="P25" t="s">
        <v>201</v>
      </c>
      <c r="Q25">
        <v>37</v>
      </c>
      <c r="R25">
        <v>2</v>
      </c>
      <c r="S25">
        <v>6192000</v>
      </c>
      <c r="T25" s="10">
        <v>45503</v>
      </c>
      <c r="U25" s="10"/>
    </row>
    <row r="26" spans="1:21" x14ac:dyDescent="0.35">
      <c r="A26">
        <v>1025</v>
      </c>
      <c r="B26" t="s">
        <v>97</v>
      </c>
      <c r="C26" t="s">
        <v>98</v>
      </c>
      <c r="D26" t="s">
        <v>36</v>
      </c>
      <c r="E26" t="s">
        <v>79</v>
      </c>
      <c r="F26" t="s">
        <v>80</v>
      </c>
      <c r="G26" t="s">
        <v>62</v>
      </c>
      <c r="H26">
        <v>198000</v>
      </c>
      <c r="I26" t="str">
        <f>_xlfn.XLOOKUP(F26,'Grade Bands'!$A$2:$A$31,'Grade Bands'!$B$2:$B$31,"Not Found")</f>
        <v>Senior</v>
      </c>
      <c r="J26">
        <f>_xlfn.XLOOKUP(F26,'Grade Bands'!$A$2:$A$31,'Grade Bands'!$C$2:$C$31,"Not Found")</f>
        <v>220000</v>
      </c>
      <c r="K26">
        <f>_xlfn.XLOOKUP(F26,'Grade Bands'!$A$2:$A$31,'Grade Bands'!$D$2:$D$31,"Not Found")</f>
        <v>360000</v>
      </c>
      <c r="L26" t="str">
        <f t="shared" si="0"/>
        <v>Outside Band</v>
      </c>
      <c r="M26">
        <v>3</v>
      </c>
      <c r="N26" s="10">
        <v>28598</v>
      </c>
      <c r="O26" t="s">
        <v>226</v>
      </c>
      <c r="P26" t="s">
        <v>201</v>
      </c>
      <c r="Q26">
        <v>48</v>
      </c>
      <c r="R26">
        <v>3</v>
      </c>
      <c r="S26">
        <v>2376000</v>
      </c>
      <c r="T26" s="10">
        <v>45084</v>
      </c>
      <c r="U26" s="10"/>
    </row>
    <row r="27" spans="1:21" x14ac:dyDescent="0.35">
      <c r="A27">
        <v>1026</v>
      </c>
      <c r="B27" t="s">
        <v>99</v>
      </c>
      <c r="C27" t="s">
        <v>100</v>
      </c>
      <c r="D27" t="s">
        <v>42</v>
      </c>
      <c r="E27" t="s">
        <v>47</v>
      </c>
      <c r="F27" t="s">
        <v>101</v>
      </c>
      <c r="G27" t="s">
        <v>62</v>
      </c>
      <c r="H27">
        <v>124000</v>
      </c>
      <c r="I27" t="str">
        <f>_xlfn.XLOOKUP(F27,'Grade Bands'!$A$2:$A$31,'Grade Bands'!$B$2:$B$31,"Not Found")</f>
        <v>Officer</v>
      </c>
      <c r="J27">
        <f>_xlfn.XLOOKUP(F27,'Grade Bands'!$A$2:$A$31,'Grade Bands'!$C$2:$C$31,"Not Found")</f>
        <v>110000</v>
      </c>
      <c r="K27">
        <f>_xlfn.XLOOKUP(F27,'Grade Bands'!$A$2:$A$31,'Grade Bands'!$D$2:$D$31,"Not Found")</f>
        <v>230000</v>
      </c>
      <c r="L27" t="str">
        <f t="shared" si="0"/>
        <v>Within Band</v>
      </c>
      <c r="M27">
        <v>4</v>
      </c>
      <c r="N27" s="10">
        <v>34190</v>
      </c>
      <c r="O27" t="s">
        <v>227</v>
      </c>
      <c r="P27" t="s">
        <v>201</v>
      </c>
      <c r="Q27">
        <v>32</v>
      </c>
      <c r="R27">
        <v>5</v>
      </c>
      <c r="S27">
        <v>1488000</v>
      </c>
      <c r="T27" s="10">
        <v>44376</v>
      </c>
      <c r="U27" s="10"/>
    </row>
    <row r="28" spans="1:21" x14ac:dyDescent="0.35">
      <c r="A28">
        <v>1027</v>
      </c>
      <c r="B28" t="s">
        <v>97</v>
      </c>
      <c r="C28" t="s">
        <v>87</v>
      </c>
      <c r="D28" t="s">
        <v>36</v>
      </c>
      <c r="E28" t="s">
        <v>88</v>
      </c>
      <c r="F28" t="s">
        <v>89</v>
      </c>
      <c r="G28" t="s">
        <v>39</v>
      </c>
      <c r="H28">
        <v>152000</v>
      </c>
      <c r="I28" t="str">
        <f>_xlfn.XLOOKUP(F28,'Grade Bands'!$A$2:$A$31,'Grade Bands'!$B$2:$B$31,"Not Found")</f>
        <v>Officer</v>
      </c>
      <c r="J28">
        <f>_xlfn.XLOOKUP(F28,'Grade Bands'!$A$2:$A$31,'Grade Bands'!$C$2:$C$31,"Not Found")</f>
        <v>110000</v>
      </c>
      <c r="K28">
        <f>_xlfn.XLOOKUP(F28,'Grade Bands'!$A$2:$A$31,'Grade Bands'!$D$2:$D$31,"Not Found")</f>
        <v>230000</v>
      </c>
      <c r="L28" t="str">
        <f t="shared" si="0"/>
        <v>Within Band</v>
      </c>
      <c r="M28">
        <v>3</v>
      </c>
      <c r="N28" s="10">
        <v>31346</v>
      </c>
      <c r="O28" t="s">
        <v>228</v>
      </c>
      <c r="P28" t="s">
        <v>206</v>
      </c>
      <c r="Q28">
        <v>40</v>
      </c>
      <c r="R28">
        <v>5</v>
      </c>
      <c r="S28">
        <v>1824000</v>
      </c>
      <c r="T28" s="10">
        <v>42568</v>
      </c>
      <c r="U28" s="10">
        <v>44751</v>
      </c>
    </row>
    <row r="29" spans="1:21" x14ac:dyDescent="0.35">
      <c r="A29">
        <v>1028</v>
      </c>
      <c r="B29" t="s">
        <v>102</v>
      </c>
      <c r="C29" t="s">
        <v>41</v>
      </c>
      <c r="D29" t="s">
        <v>36</v>
      </c>
      <c r="E29" t="s">
        <v>79</v>
      </c>
      <c r="F29" t="s">
        <v>32</v>
      </c>
      <c r="G29" t="s">
        <v>33</v>
      </c>
      <c r="H29">
        <v>179000</v>
      </c>
      <c r="I29" t="str">
        <f>_xlfn.XLOOKUP(F29,'Grade Bands'!$A$2:$A$31,'Grade Bands'!$B$2:$B$31,"Not Found")</f>
        <v>Officer</v>
      </c>
      <c r="J29">
        <f>_xlfn.XLOOKUP(F29,'Grade Bands'!$A$2:$A$31,'Grade Bands'!$C$2:$C$31,"Not Found")</f>
        <v>110000</v>
      </c>
      <c r="K29">
        <f>_xlfn.XLOOKUP(F29,'Grade Bands'!$A$2:$A$31,'Grade Bands'!$D$2:$D$31,"Not Found")</f>
        <v>230000</v>
      </c>
      <c r="L29" t="str">
        <f t="shared" si="0"/>
        <v>Within Band</v>
      </c>
      <c r="M29">
        <v>2</v>
      </c>
      <c r="N29" s="10">
        <v>31634</v>
      </c>
      <c r="O29" t="s">
        <v>229</v>
      </c>
      <c r="P29" t="s">
        <v>206</v>
      </c>
      <c r="Q29">
        <v>39</v>
      </c>
      <c r="R29">
        <v>2</v>
      </c>
      <c r="S29">
        <v>2148000</v>
      </c>
      <c r="T29" s="10">
        <v>44158</v>
      </c>
      <c r="U29" s="10">
        <v>44930</v>
      </c>
    </row>
    <row r="30" spans="1:21" x14ac:dyDescent="0.35">
      <c r="A30">
        <v>1029</v>
      </c>
      <c r="B30" t="s">
        <v>103</v>
      </c>
      <c r="C30" t="s">
        <v>104</v>
      </c>
      <c r="D30" t="s">
        <v>36</v>
      </c>
      <c r="E30" t="s">
        <v>68</v>
      </c>
      <c r="F30" t="s">
        <v>105</v>
      </c>
      <c r="G30" t="s">
        <v>33</v>
      </c>
      <c r="H30">
        <v>322000</v>
      </c>
      <c r="I30" t="str">
        <f>_xlfn.XLOOKUP(F30,'Grade Bands'!$A$2:$A$31,'Grade Bands'!$B$2:$B$31,"Not Found")</f>
        <v>Senior</v>
      </c>
      <c r="J30">
        <f>_xlfn.XLOOKUP(F30,'Grade Bands'!$A$2:$A$31,'Grade Bands'!$C$2:$C$31,"Not Found")</f>
        <v>220000</v>
      </c>
      <c r="K30">
        <f>_xlfn.XLOOKUP(F30,'Grade Bands'!$A$2:$A$31,'Grade Bands'!$D$2:$D$31,"Not Found")</f>
        <v>360000</v>
      </c>
      <c r="L30" t="str">
        <f t="shared" si="0"/>
        <v>Within Band</v>
      </c>
      <c r="M30">
        <v>4</v>
      </c>
      <c r="N30" s="10">
        <v>36654</v>
      </c>
      <c r="O30" t="s">
        <v>230</v>
      </c>
      <c r="P30" t="s">
        <v>201</v>
      </c>
      <c r="Q30">
        <v>26</v>
      </c>
      <c r="R30">
        <v>6</v>
      </c>
      <c r="S30">
        <v>3864000</v>
      </c>
      <c r="T30" s="10">
        <v>43715</v>
      </c>
      <c r="U30" s="10"/>
    </row>
    <row r="31" spans="1:21" x14ac:dyDescent="0.35">
      <c r="A31">
        <v>1030</v>
      </c>
      <c r="B31" t="s">
        <v>83</v>
      </c>
      <c r="C31" t="s">
        <v>87</v>
      </c>
      <c r="D31" t="s">
        <v>36</v>
      </c>
      <c r="E31" t="s">
        <v>79</v>
      </c>
      <c r="F31" t="s">
        <v>106</v>
      </c>
      <c r="G31" t="s">
        <v>33</v>
      </c>
      <c r="H31">
        <v>283000</v>
      </c>
      <c r="I31" t="str">
        <f>_xlfn.XLOOKUP(F31,'Grade Bands'!$A$2:$A$31,'Grade Bands'!$B$2:$B$31,"Not Found")</f>
        <v>Senior</v>
      </c>
      <c r="J31">
        <f>_xlfn.XLOOKUP(F31,'Grade Bands'!$A$2:$A$31,'Grade Bands'!$C$2:$C$31,"Not Found")</f>
        <v>220000</v>
      </c>
      <c r="K31">
        <f>_xlfn.XLOOKUP(F31,'Grade Bands'!$A$2:$A$31,'Grade Bands'!$D$2:$D$31,"Not Found")</f>
        <v>360000</v>
      </c>
      <c r="L31" t="str">
        <f t="shared" si="0"/>
        <v>Within Band</v>
      </c>
      <c r="M31">
        <v>3</v>
      </c>
      <c r="N31" s="10">
        <v>29699</v>
      </c>
      <c r="O31" t="s">
        <v>231</v>
      </c>
      <c r="P31" t="s">
        <v>201</v>
      </c>
      <c r="Q31">
        <v>45</v>
      </c>
      <c r="R31">
        <v>2</v>
      </c>
      <c r="S31">
        <v>3396000</v>
      </c>
      <c r="T31" s="10">
        <v>45410</v>
      </c>
      <c r="U31" s="10"/>
    </row>
    <row r="32" spans="1:21" x14ac:dyDescent="0.35">
      <c r="A32">
        <v>1031</v>
      </c>
      <c r="B32" t="s">
        <v>107</v>
      </c>
      <c r="C32" t="s">
        <v>108</v>
      </c>
      <c r="D32" t="s">
        <v>42</v>
      </c>
      <c r="E32" t="s">
        <v>88</v>
      </c>
      <c r="F32" t="s">
        <v>89</v>
      </c>
      <c r="G32" t="s">
        <v>33</v>
      </c>
      <c r="H32">
        <v>133000</v>
      </c>
      <c r="I32" t="str">
        <f>_xlfn.XLOOKUP(F32,'Grade Bands'!$A$2:$A$31,'Grade Bands'!$B$2:$B$31,"Not Found")</f>
        <v>Officer</v>
      </c>
      <c r="J32">
        <f>_xlfn.XLOOKUP(F32,'Grade Bands'!$A$2:$A$31,'Grade Bands'!$C$2:$C$31,"Not Found")</f>
        <v>110000</v>
      </c>
      <c r="K32">
        <f>_xlfn.XLOOKUP(F32,'Grade Bands'!$A$2:$A$31,'Grade Bands'!$D$2:$D$31,"Not Found")</f>
        <v>230000</v>
      </c>
      <c r="L32" t="str">
        <f t="shared" si="0"/>
        <v>Within Band</v>
      </c>
      <c r="M32">
        <v>3</v>
      </c>
      <c r="N32" s="10">
        <v>36703</v>
      </c>
      <c r="O32" t="s">
        <v>232</v>
      </c>
      <c r="P32" t="s">
        <v>206</v>
      </c>
      <c r="Q32">
        <v>26</v>
      </c>
      <c r="R32">
        <v>3</v>
      </c>
      <c r="S32">
        <v>1596000</v>
      </c>
      <c r="T32" s="10">
        <v>44555</v>
      </c>
      <c r="U32" s="10">
        <v>46009</v>
      </c>
    </row>
    <row r="33" spans="1:21" x14ac:dyDescent="0.35">
      <c r="A33">
        <v>1032</v>
      </c>
      <c r="B33" t="s">
        <v>109</v>
      </c>
      <c r="C33" t="s">
        <v>104</v>
      </c>
      <c r="D33" t="s">
        <v>42</v>
      </c>
      <c r="E33" t="s">
        <v>88</v>
      </c>
      <c r="F33" t="s">
        <v>89</v>
      </c>
      <c r="G33" t="s">
        <v>39</v>
      </c>
      <c r="H33">
        <v>148000</v>
      </c>
      <c r="I33" t="str">
        <f>_xlfn.XLOOKUP(F33,'Grade Bands'!$A$2:$A$31,'Grade Bands'!$B$2:$B$31,"Not Found")</f>
        <v>Officer</v>
      </c>
      <c r="J33">
        <f>_xlfn.XLOOKUP(F33,'Grade Bands'!$A$2:$A$31,'Grade Bands'!$C$2:$C$31,"Not Found")</f>
        <v>110000</v>
      </c>
      <c r="K33">
        <f>_xlfn.XLOOKUP(F33,'Grade Bands'!$A$2:$A$31,'Grade Bands'!$D$2:$D$31,"Not Found")</f>
        <v>230000</v>
      </c>
      <c r="L33" t="str">
        <f t="shared" si="0"/>
        <v>Within Band</v>
      </c>
      <c r="M33">
        <v>1</v>
      </c>
      <c r="N33" s="10">
        <v>31757</v>
      </c>
      <c r="O33" t="s">
        <v>233</v>
      </c>
      <c r="P33" t="s">
        <v>201</v>
      </c>
      <c r="Q33">
        <v>39</v>
      </c>
      <c r="R33">
        <v>6</v>
      </c>
      <c r="S33">
        <v>1776000</v>
      </c>
      <c r="T33" s="10">
        <v>43885</v>
      </c>
      <c r="U33" s="10"/>
    </row>
    <row r="34" spans="1:21" x14ac:dyDescent="0.35">
      <c r="A34">
        <v>1033</v>
      </c>
      <c r="B34" t="s">
        <v>83</v>
      </c>
      <c r="C34" t="s">
        <v>67</v>
      </c>
      <c r="D34" t="s">
        <v>36</v>
      </c>
      <c r="E34" t="s">
        <v>51</v>
      </c>
      <c r="F34" t="s">
        <v>61</v>
      </c>
      <c r="G34" t="s">
        <v>33</v>
      </c>
      <c r="H34">
        <v>258000</v>
      </c>
      <c r="I34" t="str">
        <f>_xlfn.XLOOKUP(F34,'Grade Bands'!$A$2:$A$31,'Grade Bands'!$B$2:$B$31,"Not Found")</f>
        <v>Lead/Manager</v>
      </c>
      <c r="J34">
        <f>_xlfn.XLOOKUP(F34,'Grade Bands'!$A$2:$A$31,'Grade Bands'!$C$2:$C$31,"Not Found")</f>
        <v>360000</v>
      </c>
      <c r="K34">
        <f>_xlfn.XLOOKUP(F34,'Grade Bands'!$A$2:$A$31,'Grade Bands'!$D$2:$D$31,"Not Found")</f>
        <v>650000</v>
      </c>
      <c r="L34" t="str">
        <f t="shared" ref="L34:L65" si="1">IF(AND(H34&gt;=J34,H34&lt;=K34),"Within Band","Outside Band")</f>
        <v>Outside Band</v>
      </c>
      <c r="M34">
        <v>5</v>
      </c>
      <c r="N34" s="10">
        <v>31240</v>
      </c>
      <c r="O34" t="s">
        <v>234</v>
      </c>
      <c r="P34" t="s">
        <v>201</v>
      </c>
      <c r="Q34">
        <v>41</v>
      </c>
      <c r="R34">
        <v>4</v>
      </c>
      <c r="S34">
        <v>3096000</v>
      </c>
      <c r="T34" s="10">
        <v>44485</v>
      </c>
      <c r="U34" s="10"/>
    </row>
    <row r="35" spans="1:21" x14ac:dyDescent="0.35">
      <c r="A35">
        <v>1034</v>
      </c>
      <c r="B35" t="s">
        <v>110</v>
      </c>
      <c r="C35" t="s">
        <v>82</v>
      </c>
      <c r="D35" t="s">
        <v>42</v>
      </c>
      <c r="E35" t="s">
        <v>79</v>
      </c>
      <c r="F35" t="s">
        <v>32</v>
      </c>
      <c r="G35" t="s">
        <v>39</v>
      </c>
      <c r="H35">
        <v>150000</v>
      </c>
      <c r="I35" t="str">
        <f>_xlfn.XLOOKUP(F35,'Grade Bands'!$A$2:$A$31,'Grade Bands'!$B$2:$B$31,"Not Found")</f>
        <v>Officer</v>
      </c>
      <c r="J35">
        <f>_xlfn.XLOOKUP(F35,'Grade Bands'!$A$2:$A$31,'Grade Bands'!$C$2:$C$31,"Not Found")</f>
        <v>110000</v>
      </c>
      <c r="K35">
        <f>_xlfn.XLOOKUP(F35,'Grade Bands'!$A$2:$A$31,'Grade Bands'!$D$2:$D$31,"Not Found")</f>
        <v>230000</v>
      </c>
      <c r="L35" t="str">
        <f t="shared" si="1"/>
        <v>Within Band</v>
      </c>
      <c r="M35">
        <v>2</v>
      </c>
      <c r="N35" s="10">
        <v>32617</v>
      </c>
      <c r="O35" t="s">
        <v>235</v>
      </c>
      <c r="P35" t="s">
        <v>201</v>
      </c>
      <c r="Q35">
        <v>37</v>
      </c>
      <c r="R35">
        <v>5</v>
      </c>
      <c r="S35">
        <v>1800000</v>
      </c>
      <c r="T35" s="10">
        <v>44375</v>
      </c>
      <c r="U35" s="10"/>
    </row>
    <row r="36" spans="1:21" x14ac:dyDescent="0.35">
      <c r="A36">
        <v>1035</v>
      </c>
      <c r="B36" t="s">
        <v>95</v>
      </c>
      <c r="C36" t="s">
        <v>82</v>
      </c>
      <c r="D36" t="s">
        <v>42</v>
      </c>
      <c r="E36" t="s">
        <v>47</v>
      </c>
      <c r="F36" t="s">
        <v>101</v>
      </c>
      <c r="G36" t="s">
        <v>33</v>
      </c>
      <c r="H36">
        <v>141000</v>
      </c>
      <c r="I36" t="str">
        <f>_xlfn.XLOOKUP(F36,'Grade Bands'!$A$2:$A$31,'Grade Bands'!$B$2:$B$31,"Not Found")</f>
        <v>Officer</v>
      </c>
      <c r="J36">
        <f>_xlfn.XLOOKUP(F36,'Grade Bands'!$A$2:$A$31,'Grade Bands'!$C$2:$C$31,"Not Found")</f>
        <v>110000</v>
      </c>
      <c r="K36">
        <f>_xlfn.XLOOKUP(F36,'Grade Bands'!$A$2:$A$31,'Grade Bands'!$D$2:$D$31,"Not Found")</f>
        <v>230000</v>
      </c>
      <c r="L36" t="str">
        <f t="shared" si="1"/>
        <v>Within Band</v>
      </c>
      <c r="M36">
        <v>3</v>
      </c>
      <c r="N36" s="10">
        <v>32100</v>
      </c>
      <c r="O36" t="s">
        <v>236</v>
      </c>
      <c r="P36" t="s">
        <v>201</v>
      </c>
      <c r="Q36">
        <v>38</v>
      </c>
      <c r="R36">
        <v>9</v>
      </c>
      <c r="S36">
        <v>1692000</v>
      </c>
      <c r="T36" s="10">
        <v>42922</v>
      </c>
      <c r="U36" s="10"/>
    </row>
    <row r="37" spans="1:21" x14ac:dyDescent="0.35">
      <c r="A37">
        <v>1036</v>
      </c>
      <c r="B37" t="s">
        <v>111</v>
      </c>
      <c r="C37" t="s">
        <v>100</v>
      </c>
      <c r="D37" t="s">
        <v>42</v>
      </c>
      <c r="E37" t="s">
        <v>88</v>
      </c>
      <c r="F37" t="s">
        <v>89</v>
      </c>
      <c r="G37" t="s">
        <v>62</v>
      </c>
      <c r="H37">
        <v>125000</v>
      </c>
      <c r="I37" t="str">
        <f>_xlfn.XLOOKUP(F37,'Grade Bands'!$A$2:$A$31,'Grade Bands'!$B$2:$B$31,"Not Found")</f>
        <v>Officer</v>
      </c>
      <c r="J37">
        <f>_xlfn.XLOOKUP(F37,'Grade Bands'!$A$2:$A$31,'Grade Bands'!$C$2:$C$31,"Not Found")</f>
        <v>110000</v>
      </c>
      <c r="K37">
        <f>_xlfn.XLOOKUP(F37,'Grade Bands'!$A$2:$A$31,'Grade Bands'!$D$2:$D$31,"Not Found")</f>
        <v>230000</v>
      </c>
      <c r="L37" t="str">
        <f t="shared" si="1"/>
        <v>Within Band</v>
      </c>
      <c r="M37">
        <v>5</v>
      </c>
      <c r="N37" s="10">
        <v>34488</v>
      </c>
      <c r="O37" t="s">
        <v>237</v>
      </c>
      <c r="P37" t="s">
        <v>206</v>
      </c>
      <c r="Q37">
        <v>32</v>
      </c>
      <c r="R37">
        <v>9</v>
      </c>
      <c r="S37">
        <v>1500000</v>
      </c>
      <c r="T37" s="10">
        <v>42387</v>
      </c>
      <c r="U37" s="10">
        <v>45716</v>
      </c>
    </row>
    <row r="38" spans="1:21" x14ac:dyDescent="0.35">
      <c r="A38">
        <v>1037</v>
      </c>
      <c r="B38" t="s">
        <v>103</v>
      </c>
      <c r="C38" t="s">
        <v>29</v>
      </c>
      <c r="D38" t="s">
        <v>36</v>
      </c>
      <c r="E38" t="s">
        <v>65</v>
      </c>
      <c r="F38" t="s">
        <v>112</v>
      </c>
      <c r="G38" t="s">
        <v>113</v>
      </c>
      <c r="H38">
        <v>482000</v>
      </c>
      <c r="I38" t="str">
        <f>_xlfn.XLOOKUP(F38,'Grade Bands'!$A$2:$A$31,'Grade Bands'!$B$2:$B$31,"Not Found")</f>
        <v>Lead/Manager</v>
      </c>
      <c r="J38">
        <f>_xlfn.XLOOKUP(F38,'Grade Bands'!$A$2:$A$31,'Grade Bands'!$C$2:$C$31,"Not Found")</f>
        <v>360000</v>
      </c>
      <c r="K38">
        <f>_xlfn.XLOOKUP(F38,'Grade Bands'!$A$2:$A$31,'Grade Bands'!$D$2:$D$31,"Not Found")</f>
        <v>650000</v>
      </c>
      <c r="L38" t="str">
        <f t="shared" si="1"/>
        <v>Within Band</v>
      </c>
      <c r="M38">
        <v>3</v>
      </c>
      <c r="N38" s="10">
        <v>37156</v>
      </c>
      <c r="O38" t="s">
        <v>238</v>
      </c>
      <c r="P38" t="s">
        <v>201</v>
      </c>
      <c r="Q38">
        <v>24</v>
      </c>
      <c r="R38">
        <v>8</v>
      </c>
      <c r="S38">
        <v>5784000</v>
      </c>
      <c r="T38" s="10">
        <v>43172</v>
      </c>
      <c r="U38" s="10"/>
    </row>
    <row r="39" spans="1:21" x14ac:dyDescent="0.35">
      <c r="A39">
        <v>1038</v>
      </c>
      <c r="B39" t="s">
        <v>114</v>
      </c>
      <c r="C39" t="s">
        <v>98</v>
      </c>
      <c r="D39" t="s">
        <v>36</v>
      </c>
      <c r="E39" t="s">
        <v>79</v>
      </c>
      <c r="F39" t="s">
        <v>80</v>
      </c>
      <c r="G39" t="s">
        <v>62</v>
      </c>
      <c r="H39">
        <v>177000</v>
      </c>
      <c r="I39" t="str">
        <f>_xlfn.XLOOKUP(F39,'Grade Bands'!$A$2:$A$31,'Grade Bands'!$B$2:$B$31,"Not Found")</f>
        <v>Senior</v>
      </c>
      <c r="J39">
        <f>_xlfn.XLOOKUP(F39,'Grade Bands'!$A$2:$A$31,'Grade Bands'!$C$2:$C$31,"Not Found")</f>
        <v>220000</v>
      </c>
      <c r="K39">
        <f>_xlfn.XLOOKUP(F39,'Grade Bands'!$A$2:$A$31,'Grade Bands'!$D$2:$D$31,"Not Found")</f>
        <v>360000</v>
      </c>
      <c r="L39" t="str">
        <f t="shared" si="1"/>
        <v>Outside Band</v>
      </c>
      <c r="M39">
        <v>2</v>
      </c>
      <c r="N39" s="10">
        <v>32622</v>
      </c>
      <c r="O39" t="s">
        <v>239</v>
      </c>
      <c r="P39" t="s">
        <v>201</v>
      </c>
      <c r="Q39">
        <v>37</v>
      </c>
      <c r="R39">
        <v>9</v>
      </c>
      <c r="S39">
        <v>2124000</v>
      </c>
      <c r="T39" s="10">
        <v>42682</v>
      </c>
      <c r="U39" s="10"/>
    </row>
    <row r="40" spans="1:21" x14ac:dyDescent="0.35">
      <c r="A40">
        <v>1039</v>
      </c>
      <c r="B40" t="s">
        <v>115</v>
      </c>
      <c r="C40" t="s">
        <v>41</v>
      </c>
      <c r="D40" t="s">
        <v>42</v>
      </c>
      <c r="E40" t="s">
        <v>68</v>
      </c>
      <c r="F40" t="s">
        <v>69</v>
      </c>
      <c r="G40" t="s">
        <v>113</v>
      </c>
      <c r="H40">
        <v>155000</v>
      </c>
      <c r="I40" t="str">
        <f>_xlfn.XLOOKUP(F40,'Grade Bands'!$A$2:$A$31,'Grade Bands'!$B$2:$B$31,"Not Found")</f>
        <v>Officer</v>
      </c>
      <c r="J40">
        <f>_xlfn.XLOOKUP(F40,'Grade Bands'!$A$2:$A$31,'Grade Bands'!$C$2:$C$31,"Not Found")</f>
        <v>110000</v>
      </c>
      <c r="K40">
        <f>_xlfn.XLOOKUP(F40,'Grade Bands'!$A$2:$A$31,'Grade Bands'!$D$2:$D$31,"Not Found")</f>
        <v>230000</v>
      </c>
      <c r="L40" t="str">
        <f t="shared" si="1"/>
        <v>Within Band</v>
      </c>
      <c r="M40">
        <v>5</v>
      </c>
      <c r="N40" s="10">
        <v>28820</v>
      </c>
      <c r="O40" t="s">
        <v>240</v>
      </c>
      <c r="P40" t="s">
        <v>201</v>
      </c>
      <c r="Q40">
        <v>47</v>
      </c>
      <c r="R40">
        <v>8</v>
      </c>
      <c r="S40">
        <v>1860000</v>
      </c>
      <c r="T40" s="10">
        <v>43155</v>
      </c>
      <c r="U40" s="10"/>
    </row>
    <row r="41" spans="1:21" x14ac:dyDescent="0.35">
      <c r="A41">
        <v>1040</v>
      </c>
      <c r="B41" t="s">
        <v>116</v>
      </c>
      <c r="C41" t="s">
        <v>104</v>
      </c>
      <c r="D41" t="s">
        <v>36</v>
      </c>
      <c r="E41" t="s">
        <v>88</v>
      </c>
      <c r="F41" t="s">
        <v>89</v>
      </c>
      <c r="G41" t="s">
        <v>33</v>
      </c>
      <c r="H41">
        <v>151000</v>
      </c>
      <c r="I41" t="str">
        <f>_xlfn.XLOOKUP(F41,'Grade Bands'!$A$2:$A$31,'Grade Bands'!$B$2:$B$31,"Not Found")</f>
        <v>Officer</v>
      </c>
      <c r="J41">
        <f>_xlfn.XLOOKUP(F41,'Grade Bands'!$A$2:$A$31,'Grade Bands'!$C$2:$C$31,"Not Found")</f>
        <v>110000</v>
      </c>
      <c r="K41">
        <f>_xlfn.XLOOKUP(F41,'Grade Bands'!$A$2:$A$31,'Grade Bands'!$D$2:$D$31,"Not Found")</f>
        <v>230000</v>
      </c>
      <c r="L41" t="str">
        <f t="shared" si="1"/>
        <v>Within Band</v>
      </c>
      <c r="M41">
        <v>3</v>
      </c>
      <c r="N41" s="10">
        <v>36658</v>
      </c>
      <c r="O41" t="s">
        <v>241</v>
      </c>
      <c r="P41" t="s">
        <v>201</v>
      </c>
      <c r="Q41">
        <v>26</v>
      </c>
      <c r="R41">
        <v>4</v>
      </c>
      <c r="S41">
        <v>1812000</v>
      </c>
      <c r="T41" s="10">
        <v>44523</v>
      </c>
      <c r="U41" s="10"/>
    </row>
    <row r="42" spans="1:21" x14ac:dyDescent="0.35">
      <c r="A42">
        <v>1041</v>
      </c>
      <c r="B42" t="s">
        <v>117</v>
      </c>
      <c r="C42" t="s">
        <v>41</v>
      </c>
      <c r="D42" t="s">
        <v>36</v>
      </c>
      <c r="E42" t="s">
        <v>51</v>
      </c>
      <c r="F42" t="s">
        <v>52</v>
      </c>
      <c r="G42" t="s">
        <v>113</v>
      </c>
      <c r="H42">
        <v>185000</v>
      </c>
      <c r="I42" t="str">
        <f>_xlfn.XLOOKUP(F42,'Grade Bands'!$A$2:$A$31,'Grade Bands'!$B$2:$B$31,"Not Found")</f>
        <v>Officer</v>
      </c>
      <c r="J42">
        <f>_xlfn.XLOOKUP(F42,'Grade Bands'!$A$2:$A$31,'Grade Bands'!$C$2:$C$31,"Not Found")</f>
        <v>110000</v>
      </c>
      <c r="K42">
        <f>_xlfn.XLOOKUP(F42,'Grade Bands'!$A$2:$A$31,'Grade Bands'!$D$2:$D$31,"Not Found")</f>
        <v>230000</v>
      </c>
      <c r="L42" t="str">
        <f t="shared" si="1"/>
        <v>Within Band</v>
      </c>
      <c r="M42">
        <v>2</v>
      </c>
      <c r="N42" s="10">
        <v>29452</v>
      </c>
      <c r="O42" t="s">
        <v>242</v>
      </c>
      <c r="P42" t="s">
        <v>206</v>
      </c>
      <c r="Q42">
        <v>45</v>
      </c>
      <c r="R42">
        <v>8</v>
      </c>
      <c r="S42">
        <v>2220000</v>
      </c>
      <c r="T42" s="10">
        <v>42636</v>
      </c>
      <c r="U42" s="10">
        <v>45574</v>
      </c>
    </row>
    <row r="43" spans="1:21" x14ac:dyDescent="0.35">
      <c r="A43">
        <v>1042</v>
      </c>
      <c r="B43" t="s">
        <v>97</v>
      </c>
      <c r="C43" t="s">
        <v>87</v>
      </c>
      <c r="D43" t="s">
        <v>36</v>
      </c>
      <c r="E43" t="s">
        <v>51</v>
      </c>
      <c r="F43" t="s">
        <v>52</v>
      </c>
      <c r="G43" t="s">
        <v>33</v>
      </c>
      <c r="H43">
        <v>158000</v>
      </c>
      <c r="I43" t="str">
        <f>_xlfn.XLOOKUP(F43,'Grade Bands'!$A$2:$A$31,'Grade Bands'!$B$2:$B$31,"Not Found")</f>
        <v>Officer</v>
      </c>
      <c r="J43">
        <f>_xlfn.XLOOKUP(F43,'Grade Bands'!$A$2:$A$31,'Grade Bands'!$C$2:$C$31,"Not Found")</f>
        <v>110000</v>
      </c>
      <c r="K43">
        <f>_xlfn.XLOOKUP(F43,'Grade Bands'!$A$2:$A$31,'Grade Bands'!$D$2:$D$31,"Not Found")</f>
        <v>230000</v>
      </c>
      <c r="L43" t="str">
        <f t="shared" si="1"/>
        <v>Within Band</v>
      </c>
      <c r="M43">
        <v>5</v>
      </c>
      <c r="N43" s="10">
        <v>35543</v>
      </c>
      <c r="O43" t="s">
        <v>228</v>
      </c>
      <c r="P43" t="s">
        <v>201</v>
      </c>
      <c r="Q43">
        <v>29</v>
      </c>
      <c r="R43">
        <v>9</v>
      </c>
      <c r="S43">
        <v>1896000</v>
      </c>
      <c r="T43" s="10">
        <v>42943</v>
      </c>
      <c r="U43" s="10"/>
    </row>
    <row r="44" spans="1:21" x14ac:dyDescent="0.35">
      <c r="A44">
        <v>1043</v>
      </c>
      <c r="B44" t="s">
        <v>86</v>
      </c>
      <c r="C44" t="s">
        <v>118</v>
      </c>
      <c r="D44" t="s">
        <v>42</v>
      </c>
      <c r="E44" t="s">
        <v>79</v>
      </c>
      <c r="F44" t="s">
        <v>32</v>
      </c>
      <c r="G44" t="s">
        <v>62</v>
      </c>
      <c r="H44">
        <v>120000</v>
      </c>
      <c r="I44" t="str">
        <f>_xlfn.XLOOKUP(F44,'Grade Bands'!$A$2:$A$31,'Grade Bands'!$B$2:$B$31,"Not Found")</f>
        <v>Officer</v>
      </c>
      <c r="J44">
        <f>_xlfn.XLOOKUP(F44,'Grade Bands'!$A$2:$A$31,'Grade Bands'!$C$2:$C$31,"Not Found")</f>
        <v>110000</v>
      </c>
      <c r="K44">
        <f>_xlfn.XLOOKUP(F44,'Grade Bands'!$A$2:$A$31,'Grade Bands'!$D$2:$D$31,"Not Found")</f>
        <v>230000</v>
      </c>
      <c r="L44" t="str">
        <f t="shared" si="1"/>
        <v>Within Band</v>
      </c>
      <c r="M44">
        <v>5</v>
      </c>
      <c r="N44" s="10">
        <v>36753</v>
      </c>
      <c r="O44" t="s">
        <v>243</v>
      </c>
      <c r="P44" t="s">
        <v>201</v>
      </c>
      <c r="Q44">
        <v>25</v>
      </c>
      <c r="R44">
        <v>7</v>
      </c>
      <c r="S44">
        <v>1440000</v>
      </c>
      <c r="T44" s="10">
        <v>43606</v>
      </c>
      <c r="U44" s="10"/>
    </row>
    <row r="45" spans="1:21" x14ac:dyDescent="0.35">
      <c r="A45">
        <v>1044</v>
      </c>
      <c r="B45" t="s">
        <v>119</v>
      </c>
      <c r="C45" t="s">
        <v>93</v>
      </c>
      <c r="D45" t="s">
        <v>42</v>
      </c>
      <c r="E45" t="s">
        <v>56</v>
      </c>
      <c r="F45" t="s">
        <v>120</v>
      </c>
      <c r="G45" t="s">
        <v>113</v>
      </c>
      <c r="H45">
        <v>176000</v>
      </c>
      <c r="I45" t="str">
        <f>_xlfn.XLOOKUP(F45,'Grade Bands'!$A$2:$A$31,'Grade Bands'!$B$2:$B$31,"Not Found")</f>
        <v>Officer</v>
      </c>
      <c r="J45">
        <f>_xlfn.XLOOKUP(F45,'Grade Bands'!$A$2:$A$31,'Grade Bands'!$C$2:$C$31,"Not Found")</f>
        <v>110000</v>
      </c>
      <c r="K45">
        <f>_xlfn.XLOOKUP(F45,'Grade Bands'!$A$2:$A$31,'Grade Bands'!$D$2:$D$31,"Not Found")</f>
        <v>230000</v>
      </c>
      <c r="L45" t="str">
        <f t="shared" si="1"/>
        <v>Within Band</v>
      </c>
      <c r="M45">
        <v>3</v>
      </c>
      <c r="N45" s="10">
        <v>28181</v>
      </c>
      <c r="O45" t="s">
        <v>244</v>
      </c>
      <c r="P45" t="s">
        <v>206</v>
      </c>
      <c r="Q45">
        <v>49</v>
      </c>
      <c r="R45">
        <v>1</v>
      </c>
      <c r="S45">
        <v>2112000</v>
      </c>
      <c r="T45" s="10">
        <v>45109</v>
      </c>
      <c r="U45" s="10">
        <v>45639</v>
      </c>
    </row>
    <row r="46" spans="1:21" x14ac:dyDescent="0.35">
      <c r="A46">
        <v>1045</v>
      </c>
      <c r="B46" t="s">
        <v>64</v>
      </c>
      <c r="C46" t="s">
        <v>93</v>
      </c>
      <c r="D46" t="s">
        <v>42</v>
      </c>
      <c r="E46" t="s">
        <v>88</v>
      </c>
      <c r="F46" t="s">
        <v>89</v>
      </c>
      <c r="G46" t="s">
        <v>44</v>
      </c>
      <c r="H46">
        <v>113000</v>
      </c>
      <c r="I46" t="str">
        <f>_xlfn.XLOOKUP(F46,'Grade Bands'!$A$2:$A$31,'Grade Bands'!$B$2:$B$31,"Not Found")</f>
        <v>Officer</v>
      </c>
      <c r="J46">
        <f>_xlfn.XLOOKUP(F46,'Grade Bands'!$A$2:$A$31,'Grade Bands'!$C$2:$C$31,"Not Found")</f>
        <v>110000</v>
      </c>
      <c r="K46">
        <f>_xlfn.XLOOKUP(F46,'Grade Bands'!$A$2:$A$31,'Grade Bands'!$D$2:$D$31,"Not Found")</f>
        <v>230000</v>
      </c>
      <c r="L46" t="str">
        <f t="shared" si="1"/>
        <v>Within Band</v>
      </c>
      <c r="M46">
        <v>4</v>
      </c>
      <c r="N46" s="10">
        <v>32768</v>
      </c>
      <c r="O46" t="s">
        <v>245</v>
      </c>
      <c r="P46" t="s">
        <v>201</v>
      </c>
      <c r="Q46">
        <v>36</v>
      </c>
      <c r="R46">
        <v>2</v>
      </c>
      <c r="S46">
        <v>1356000</v>
      </c>
      <c r="T46" s="10">
        <v>45429</v>
      </c>
      <c r="U46" s="10"/>
    </row>
    <row r="47" spans="1:21" x14ac:dyDescent="0.35">
      <c r="A47">
        <v>1046</v>
      </c>
      <c r="B47" t="s">
        <v>121</v>
      </c>
      <c r="C47" t="s">
        <v>87</v>
      </c>
      <c r="D47" t="s">
        <v>36</v>
      </c>
      <c r="E47" t="s">
        <v>79</v>
      </c>
      <c r="F47" t="s">
        <v>32</v>
      </c>
      <c r="G47" t="s">
        <v>33</v>
      </c>
      <c r="H47">
        <v>174000</v>
      </c>
      <c r="I47" t="str">
        <f>_xlfn.XLOOKUP(F47,'Grade Bands'!$A$2:$A$31,'Grade Bands'!$B$2:$B$31,"Not Found")</f>
        <v>Officer</v>
      </c>
      <c r="J47">
        <f>_xlfn.XLOOKUP(F47,'Grade Bands'!$A$2:$A$31,'Grade Bands'!$C$2:$C$31,"Not Found")</f>
        <v>110000</v>
      </c>
      <c r="K47">
        <f>_xlfn.XLOOKUP(F47,'Grade Bands'!$A$2:$A$31,'Grade Bands'!$D$2:$D$31,"Not Found")</f>
        <v>230000</v>
      </c>
      <c r="L47" t="str">
        <f t="shared" si="1"/>
        <v>Within Band</v>
      </c>
      <c r="M47">
        <v>4</v>
      </c>
      <c r="N47" s="10">
        <v>27725</v>
      </c>
      <c r="O47" t="s">
        <v>246</v>
      </c>
      <c r="P47" t="s">
        <v>201</v>
      </c>
      <c r="Q47">
        <v>50</v>
      </c>
      <c r="R47">
        <v>6</v>
      </c>
      <c r="S47">
        <v>2088000</v>
      </c>
      <c r="T47" s="10">
        <v>43760</v>
      </c>
      <c r="U47" s="10"/>
    </row>
    <row r="48" spans="1:21" x14ac:dyDescent="0.35">
      <c r="A48">
        <v>1047</v>
      </c>
      <c r="B48" t="s">
        <v>111</v>
      </c>
      <c r="C48" t="s">
        <v>77</v>
      </c>
      <c r="D48" t="s">
        <v>42</v>
      </c>
      <c r="E48" t="s">
        <v>65</v>
      </c>
      <c r="F48" t="s">
        <v>84</v>
      </c>
      <c r="G48" t="s">
        <v>44</v>
      </c>
      <c r="H48">
        <v>157000</v>
      </c>
      <c r="I48" t="str">
        <f>_xlfn.XLOOKUP(F48,'Grade Bands'!$A$2:$A$31,'Grade Bands'!$B$2:$B$31,"Not Found")</f>
        <v>Officer</v>
      </c>
      <c r="J48">
        <f>_xlfn.XLOOKUP(F48,'Grade Bands'!$A$2:$A$31,'Grade Bands'!$C$2:$C$31,"Not Found")</f>
        <v>110000</v>
      </c>
      <c r="K48">
        <f>_xlfn.XLOOKUP(F48,'Grade Bands'!$A$2:$A$31,'Grade Bands'!$D$2:$D$31,"Not Found")</f>
        <v>230000</v>
      </c>
      <c r="L48" t="str">
        <f t="shared" si="1"/>
        <v>Within Band</v>
      </c>
      <c r="M48">
        <v>4</v>
      </c>
      <c r="N48" s="10">
        <v>31474</v>
      </c>
      <c r="O48" t="s">
        <v>247</v>
      </c>
      <c r="P48" t="s">
        <v>201</v>
      </c>
      <c r="Q48">
        <v>40</v>
      </c>
      <c r="R48">
        <v>1</v>
      </c>
      <c r="S48">
        <v>1884000</v>
      </c>
      <c r="T48" s="10">
        <v>45636</v>
      </c>
      <c r="U48" s="10"/>
    </row>
    <row r="49" spans="1:21" x14ac:dyDescent="0.35">
      <c r="A49">
        <v>1048</v>
      </c>
      <c r="B49" t="s">
        <v>95</v>
      </c>
      <c r="C49" t="s">
        <v>70</v>
      </c>
      <c r="D49" t="s">
        <v>42</v>
      </c>
      <c r="E49" t="s">
        <v>56</v>
      </c>
      <c r="F49" t="s">
        <v>120</v>
      </c>
      <c r="G49" t="s">
        <v>33</v>
      </c>
      <c r="H49">
        <v>177000</v>
      </c>
      <c r="I49" t="str">
        <f>_xlfn.XLOOKUP(F49,'Grade Bands'!$A$2:$A$31,'Grade Bands'!$B$2:$B$31,"Not Found")</f>
        <v>Officer</v>
      </c>
      <c r="J49">
        <f>_xlfn.XLOOKUP(F49,'Grade Bands'!$A$2:$A$31,'Grade Bands'!$C$2:$C$31,"Not Found")</f>
        <v>110000</v>
      </c>
      <c r="K49">
        <f>_xlfn.XLOOKUP(F49,'Grade Bands'!$A$2:$A$31,'Grade Bands'!$D$2:$D$31,"Not Found")</f>
        <v>230000</v>
      </c>
      <c r="L49" t="str">
        <f t="shared" si="1"/>
        <v>Within Band</v>
      </c>
      <c r="M49">
        <v>3</v>
      </c>
      <c r="N49" s="10">
        <v>33382</v>
      </c>
      <c r="O49" t="s">
        <v>248</v>
      </c>
      <c r="P49" t="s">
        <v>201</v>
      </c>
      <c r="Q49">
        <v>35</v>
      </c>
      <c r="R49">
        <v>9</v>
      </c>
      <c r="S49">
        <v>2124000</v>
      </c>
      <c r="T49" s="10">
        <v>42717</v>
      </c>
      <c r="U49" s="10"/>
    </row>
    <row r="50" spans="1:21" x14ac:dyDescent="0.35">
      <c r="A50">
        <v>1049</v>
      </c>
      <c r="B50" t="s">
        <v>115</v>
      </c>
      <c r="C50" t="s">
        <v>29</v>
      </c>
      <c r="D50" t="s">
        <v>42</v>
      </c>
      <c r="E50" t="s">
        <v>51</v>
      </c>
      <c r="F50" t="s">
        <v>52</v>
      </c>
      <c r="G50" t="s">
        <v>39</v>
      </c>
      <c r="H50">
        <v>169000</v>
      </c>
      <c r="I50" t="str">
        <f>_xlfn.XLOOKUP(F50,'Grade Bands'!$A$2:$A$31,'Grade Bands'!$B$2:$B$31,"Not Found")</f>
        <v>Officer</v>
      </c>
      <c r="J50">
        <f>_xlfn.XLOOKUP(F50,'Grade Bands'!$A$2:$A$31,'Grade Bands'!$C$2:$C$31,"Not Found")</f>
        <v>110000</v>
      </c>
      <c r="K50">
        <f>_xlfn.XLOOKUP(F50,'Grade Bands'!$A$2:$A$31,'Grade Bands'!$D$2:$D$31,"Not Found")</f>
        <v>230000</v>
      </c>
      <c r="L50" t="str">
        <f t="shared" si="1"/>
        <v>Within Band</v>
      </c>
      <c r="M50">
        <v>2</v>
      </c>
      <c r="N50" s="10">
        <v>28353</v>
      </c>
      <c r="O50" t="s">
        <v>249</v>
      </c>
      <c r="P50" t="s">
        <v>201</v>
      </c>
      <c r="Q50">
        <v>48</v>
      </c>
      <c r="R50">
        <v>5</v>
      </c>
      <c r="S50">
        <v>2028000</v>
      </c>
      <c r="T50" s="10">
        <v>44377</v>
      </c>
      <c r="U50" s="10"/>
    </row>
    <row r="51" spans="1:21" x14ac:dyDescent="0.35">
      <c r="A51">
        <v>1050</v>
      </c>
      <c r="B51" t="s">
        <v>90</v>
      </c>
      <c r="C51" t="s">
        <v>122</v>
      </c>
      <c r="D51" t="s">
        <v>42</v>
      </c>
      <c r="E51" t="s">
        <v>65</v>
      </c>
      <c r="F51" t="s">
        <v>84</v>
      </c>
      <c r="G51" t="s">
        <v>113</v>
      </c>
      <c r="H51">
        <v>166000</v>
      </c>
      <c r="I51" t="str">
        <f>_xlfn.XLOOKUP(F51,'Grade Bands'!$A$2:$A$31,'Grade Bands'!$B$2:$B$31,"Not Found")</f>
        <v>Officer</v>
      </c>
      <c r="J51">
        <f>_xlfn.XLOOKUP(F51,'Grade Bands'!$A$2:$A$31,'Grade Bands'!$C$2:$C$31,"Not Found")</f>
        <v>110000</v>
      </c>
      <c r="K51">
        <f>_xlfn.XLOOKUP(F51,'Grade Bands'!$A$2:$A$31,'Grade Bands'!$D$2:$D$31,"Not Found")</f>
        <v>230000</v>
      </c>
      <c r="L51" t="str">
        <f t="shared" si="1"/>
        <v>Within Band</v>
      </c>
      <c r="M51">
        <v>4</v>
      </c>
      <c r="N51" s="10">
        <v>34151</v>
      </c>
      <c r="O51" t="s">
        <v>250</v>
      </c>
      <c r="P51" t="s">
        <v>206</v>
      </c>
      <c r="Q51">
        <v>33</v>
      </c>
      <c r="R51">
        <v>1</v>
      </c>
      <c r="S51">
        <v>1992000</v>
      </c>
      <c r="T51" s="10">
        <v>45308</v>
      </c>
      <c r="U51" s="10">
        <v>45721</v>
      </c>
    </row>
    <row r="52" spans="1:21" x14ac:dyDescent="0.35">
      <c r="A52">
        <v>1051</v>
      </c>
      <c r="B52" t="s">
        <v>107</v>
      </c>
      <c r="C52" t="s">
        <v>93</v>
      </c>
      <c r="D52" t="s">
        <v>42</v>
      </c>
      <c r="E52" t="s">
        <v>65</v>
      </c>
      <c r="F52" t="s">
        <v>66</v>
      </c>
      <c r="G52" t="s">
        <v>33</v>
      </c>
      <c r="H52">
        <v>223000</v>
      </c>
      <c r="I52" t="str">
        <f>_xlfn.XLOOKUP(F52,'Grade Bands'!$A$2:$A$31,'Grade Bands'!$B$2:$B$31,"Not Found")</f>
        <v>Officer</v>
      </c>
      <c r="J52">
        <f>_xlfn.XLOOKUP(F52,'Grade Bands'!$A$2:$A$31,'Grade Bands'!$C$2:$C$31,"Not Found")</f>
        <v>110000</v>
      </c>
      <c r="K52">
        <f>_xlfn.XLOOKUP(F52,'Grade Bands'!$A$2:$A$31,'Grade Bands'!$D$2:$D$31,"Not Found")</f>
        <v>230000</v>
      </c>
      <c r="L52" t="str">
        <f t="shared" si="1"/>
        <v>Within Band</v>
      </c>
      <c r="M52">
        <v>3</v>
      </c>
      <c r="N52" s="10">
        <v>37081</v>
      </c>
      <c r="O52" t="s">
        <v>251</v>
      </c>
      <c r="P52" t="s">
        <v>206</v>
      </c>
      <c r="Q52">
        <v>25</v>
      </c>
      <c r="R52">
        <v>3</v>
      </c>
      <c r="S52">
        <v>2676000</v>
      </c>
      <c r="T52" s="10">
        <v>43804</v>
      </c>
      <c r="U52" s="10">
        <v>45212</v>
      </c>
    </row>
    <row r="53" spans="1:21" x14ac:dyDescent="0.35">
      <c r="A53">
        <v>1052</v>
      </c>
      <c r="B53" t="s">
        <v>55</v>
      </c>
      <c r="C53" t="s">
        <v>29</v>
      </c>
      <c r="D53" t="s">
        <v>42</v>
      </c>
      <c r="E53" t="s">
        <v>56</v>
      </c>
      <c r="F53" t="s">
        <v>120</v>
      </c>
      <c r="G53" t="s">
        <v>62</v>
      </c>
      <c r="H53">
        <v>129000</v>
      </c>
      <c r="I53" t="str">
        <f>_xlfn.XLOOKUP(F53,'Grade Bands'!$A$2:$A$31,'Grade Bands'!$B$2:$B$31,"Not Found")</f>
        <v>Officer</v>
      </c>
      <c r="J53">
        <f>_xlfn.XLOOKUP(F53,'Grade Bands'!$A$2:$A$31,'Grade Bands'!$C$2:$C$31,"Not Found")</f>
        <v>110000</v>
      </c>
      <c r="K53">
        <f>_xlfn.XLOOKUP(F53,'Grade Bands'!$A$2:$A$31,'Grade Bands'!$D$2:$D$31,"Not Found")</f>
        <v>230000</v>
      </c>
      <c r="L53" t="str">
        <f t="shared" si="1"/>
        <v>Within Band</v>
      </c>
      <c r="M53">
        <v>5</v>
      </c>
      <c r="N53" s="10">
        <v>34329</v>
      </c>
      <c r="O53" t="s">
        <v>252</v>
      </c>
      <c r="P53" t="s">
        <v>201</v>
      </c>
      <c r="Q53">
        <v>32</v>
      </c>
      <c r="R53">
        <v>2</v>
      </c>
      <c r="S53">
        <v>1548000</v>
      </c>
      <c r="T53" s="10">
        <v>45224</v>
      </c>
      <c r="U53" s="10"/>
    </row>
    <row r="54" spans="1:21" x14ac:dyDescent="0.35">
      <c r="A54">
        <v>1053</v>
      </c>
      <c r="B54" t="s">
        <v>123</v>
      </c>
      <c r="C54" t="s">
        <v>124</v>
      </c>
      <c r="D54" t="s">
        <v>36</v>
      </c>
      <c r="E54" t="s">
        <v>88</v>
      </c>
      <c r="F54" t="s">
        <v>89</v>
      </c>
      <c r="G54" t="s">
        <v>33</v>
      </c>
      <c r="H54">
        <v>170000</v>
      </c>
      <c r="I54" t="str">
        <f>_xlfn.XLOOKUP(F54,'Grade Bands'!$A$2:$A$31,'Grade Bands'!$B$2:$B$31,"Not Found")</f>
        <v>Officer</v>
      </c>
      <c r="J54">
        <f>_xlfn.XLOOKUP(F54,'Grade Bands'!$A$2:$A$31,'Grade Bands'!$C$2:$C$31,"Not Found")</f>
        <v>110000</v>
      </c>
      <c r="K54">
        <f>_xlfn.XLOOKUP(F54,'Grade Bands'!$A$2:$A$31,'Grade Bands'!$D$2:$D$31,"Not Found")</f>
        <v>230000</v>
      </c>
      <c r="L54" t="str">
        <f t="shared" si="1"/>
        <v>Within Band</v>
      </c>
      <c r="M54">
        <v>4</v>
      </c>
      <c r="N54" s="10">
        <v>29528</v>
      </c>
      <c r="O54" t="s">
        <v>253</v>
      </c>
      <c r="P54" t="s">
        <v>201</v>
      </c>
      <c r="Q54">
        <v>45</v>
      </c>
      <c r="R54">
        <v>5</v>
      </c>
      <c r="S54">
        <v>2040000</v>
      </c>
      <c r="T54" s="10">
        <v>44245</v>
      </c>
      <c r="U54" s="10"/>
    </row>
    <row r="55" spans="1:21" x14ac:dyDescent="0.35">
      <c r="A55">
        <v>1054</v>
      </c>
      <c r="B55" t="s">
        <v>49</v>
      </c>
      <c r="C55" t="s">
        <v>91</v>
      </c>
      <c r="D55" t="s">
        <v>42</v>
      </c>
      <c r="E55" t="s">
        <v>88</v>
      </c>
      <c r="F55" t="s">
        <v>89</v>
      </c>
      <c r="G55" t="s">
        <v>62</v>
      </c>
      <c r="H55">
        <v>154000</v>
      </c>
      <c r="I55" t="str">
        <f>_xlfn.XLOOKUP(F55,'Grade Bands'!$A$2:$A$31,'Grade Bands'!$B$2:$B$31,"Not Found")</f>
        <v>Officer</v>
      </c>
      <c r="J55">
        <f>_xlfn.XLOOKUP(F55,'Grade Bands'!$A$2:$A$31,'Grade Bands'!$C$2:$C$31,"Not Found")</f>
        <v>110000</v>
      </c>
      <c r="K55">
        <f>_xlfn.XLOOKUP(F55,'Grade Bands'!$A$2:$A$31,'Grade Bands'!$D$2:$D$31,"Not Found")</f>
        <v>230000</v>
      </c>
      <c r="L55" t="str">
        <f t="shared" si="1"/>
        <v>Within Band</v>
      </c>
      <c r="M55">
        <v>4</v>
      </c>
      <c r="N55" s="10">
        <v>31738</v>
      </c>
      <c r="O55" t="s">
        <v>254</v>
      </c>
      <c r="P55" t="s">
        <v>206</v>
      </c>
      <c r="Q55">
        <v>39</v>
      </c>
      <c r="R55">
        <v>2</v>
      </c>
      <c r="S55">
        <v>1848000</v>
      </c>
      <c r="T55" s="10">
        <v>43515</v>
      </c>
      <c r="U55" s="10">
        <v>44530</v>
      </c>
    </row>
    <row r="56" spans="1:21" x14ac:dyDescent="0.35">
      <c r="A56">
        <v>1055</v>
      </c>
      <c r="B56" t="s">
        <v>95</v>
      </c>
      <c r="C56" t="s">
        <v>91</v>
      </c>
      <c r="D56" t="s">
        <v>42</v>
      </c>
      <c r="E56" t="s">
        <v>47</v>
      </c>
      <c r="F56" t="s">
        <v>126</v>
      </c>
      <c r="G56" t="s">
        <v>33</v>
      </c>
      <c r="H56">
        <v>277000</v>
      </c>
      <c r="I56" t="str">
        <f>_xlfn.XLOOKUP(F56,'Grade Bands'!$A$2:$A$31,'Grade Bands'!$B$2:$B$31,"Not Found")</f>
        <v>Lead/Manager</v>
      </c>
      <c r="J56">
        <f>_xlfn.XLOOKUP(F56,'Grade Bands'!$A$2:$A$31,'Grade Bands'!$C$2:$C$31,"Not Found")</f>
        <v>360000</v>
      </c>
      <c r="K56">
        <f>_xlfn.XLOOKUP(F56,'Grade Bands'!$A$2:$A$31,'Grade Bands'!$D$2:$D$31,"Not Found")</f>
        <v>650000</v>
      </c>
      <c r="L56" t="str">
        <f t="shared" si="1"/>
        <v>Outside Band</v>
      </c>
      <c r="M56">
        <v>5</v>
      </c>
      <c r="N56" s="10">
        <v>28181</v>
      </c>
      <c r="O56" t="s">
        <v>225</v>
      </c>
      <c r="P56" t="s">
        <v>201</v>
      </c>
      <c r="Q56">
        <v>49</v>
      </c>
      <c r="R56">
        <v>1</v>
      </c>
      <c r="S56">
        <v>3324000</v>
      </c>
      <c r="T56" s="10">
        <v>45537</v>
      </c>
      <c r="U56" s="10"/>
    </row>
    <row r="57" spans="1:21" x14ac:dyDescent="0.35">
      <c r="A57">
        <v>1056</v>
      </c>
      <c r="B57" t="s">
        <v>115</v>
      </c>
      <c r="C57" t="s">
        <v>127</v>
      </c>
      <c r="D57" t="s">
        <v>42</v>
      </c>
      <c r="E57" t="s">
        <v>56</v>
      </c>
      <c r="F57" t="s">
        <v>57</v>
      </c>
      <c r="G57" t="s">
        <v>113</v>
      </c>
      <c r="H57">
        <v>162000</v>
      </c>
      <c r="I57" t="str">
        <f>_xlfn.XLOOKUP(F57,'Grade Bands'!$A$2:$A$31,'Grade Bands'!$B$2:$B$31,"Not Found")</f>
        <v>Senior</v>
      </c>
      <c r="J57">
        <f>_xlfn.XLOOKUP(F57,'Grade Bands'!$A$2:$A$31,'Grade Bands'!$C$2:$C$31,"Not Found")</f>
        <v>220000</v>
      </c>
      <c r="K57">
        <f>_xlfn.XLOOKUP(F57,'Grade Bands'!$A$2:$A$31,'Grade Bands'!$D$2:$D$31,"Not Found")</f>
        <v>360000</v>
      </c>
      <c r="L57" t="str">
        <f t="shared" si="1"/>
        <v>Outside Band</v>
      </c>
      <c r="M57">
        <v>2</v>
      </c>
      <c r="N57" s="10">
        <v>33823</v>
      </c>
      <c r="O57" t="s">
        <v>255</v>
      </c>
      <c r="P57" t="s">
        <v>201</v>
      </c>
      <c r="Q57">
        <v>33</v>
      </c>
      <c r="R57">
        <v>5</v>
      </c>
      <c r="S57">
        <v>1944000</v>
      </c>
      <c r="T57" s="10">
        <v>44183</v>
      </c>
      <c r="U57" s="10"/>
    </row>
    <row r="58" spans="1:21" x14ac:dyDescent="0.35">
      <c r="A58">
        <v>1057</v>
      </c>
      <c r="B58" t="s">
        <v>34</v>
      </c>
      <c r="C58" t="s">
        <v>70</v>
      </c>
      <c r="D58" t="s">
        <v>36</v>
      </c>
      <c r="E58" t="s">
        <v>37</v>
      </c>
      <c r="F58" t="s">
        <v>38</v>
      </c>
      <c r="G58" t="s">
        <v>62</v>
      </c>
      <c r="H58">
        <v>165000</v>
      </c>
      <c r="I58" t="str">
        <f>_xlfn.XLOOKUP(F58,'Grade Bands'!$A$2:$A$31,'Grade Bands'!$B$2:$B$31,"Not Found")</f>
        <v>Officer</v>
      </c>
      <c r="J58">
        <f>_xlfn.XLOOKUP(F58,'Grade Bands'!$A$2:$A$31,'Grade Bands'!$C$2:$C$31,"Not Found")</f>
        <v>110000</v>
      </c>
      <c r="K58">
        <f>_xlfn.XLOOKUP(F58,'Grade Bands'!$A$2:$A$31,'Grade Bands'!$D$2:$D$31,"Not Found")</f>
        <v>230000</v>
      </c>
      <c r="L58" t="str">
        <f t="shared" si="1"/>
        <v>Within Band</v>
      </c>
      <c r="M58">
        <v>5</v>
      </c>
      <c r="N58" s="10">
        <v>30082</v>
      </c>
      <c r="O58" t="s">
        <v>256</v>
      </c>
      <c r="P58" t="s">
        <v>201</v>
      </c>
      <c r="Q58">
        <v>44</v>
      </c>
      <c r="R58">
        <v>8</v>
      </c>
      <c r="S58">
        <v>1980000</v>
      </c>
      <c r="T58" s="10">
        <v>42988</v>
      </c>
      <c r="U58" s="10"/>
    </row>
    <row r="59" spans="1:21" x14ac:dyDescent="0.35">
      <c r="A59">
        <v>1058</v>
      </c>
      <c r="B59" t="s">
        <v>83</v>
      </c>
      <c r="C59" t="s">
        <v>29</v>
      </c>
      <c r="D59" t="s">
        <v>36</v>
      </c>
      <c r="E59" t="s">
        <v>47</v>
      </c>
      <c r="F59" t="s">
        <v>101</v>
      </c>
      <c r="G59" t="s">
        <v>33</v>
      </c>
      <c r="H59">
        <v>179000</v>
      </c>
      <c r="I59" t="str">
        <f>_xlfn.XLOOKUP(F59,'Grade Bands'!$A$2:$A$31,'Grade Bands'!$B$2:$B$31,"Not Found")</f>
        <v>Officer</v>
      </c>
      <c r="J59">
        <f>_xlfn.XLOOKUP(F59,'Grade Bands'!$A$2:$A$31,'Grade Bands'!$C$2:$C$31,"Not Found")</f>
        <v>110000</v>
      </c>
      <c r="K59">
        <f>_xlfn.XLOOKUP(F59,'Grade Bands'!$A$2:$A$31,'Grade Bands'!$D$2:$D$31,"Not Found")</f>
        <v>230000</v>
      </c>
      <c r="L59" t="str">
        <f t="shared" si="1"/>
        <v>Within Band</v>
      </c>
      <c r="M59">
        <v>4</v>
      </c>
      <c r="N59" s="10">
        <v>31625</v>
      </c>
      <c r="O59" t="s">
        <v>257</v>
      </c>
      <c r="P59" t="s">
        <v>201</v>
      </c>
      <c r="Q59">
        <v>40</v>
      </c>
      <c r="R59">
        <v>6</v>
      </c>
      <c r="S59">
        <v>2148000</v>
      </c>
      <c r="T59" s="10">
        <v>43811</v>
      </c>
      <c r="U59" s="10"/>
    </row>
    <row r="60" spans="1:21" x14ac:dyDescent="0.35">
      <c r="A60">
        <v>1059</v>
      </c>
      <c r="B60" t="s">
        <v>92</v>
      </c>
      <c r="C60" t="s">
        <v>91</v>
      </c>
      <c r="D60" t="s">
        <v>42</v>
      </c>
      <c r="E60" t="s">
        <v>47</v>
      </c>
      <c r="F60" t="s">
        <v>126</v>
      </c>
      <c r="G60" t="s">
        <v>33</v>
      </c>
      <c r="H60">
        <v>283000</v>
      </c>
      <c r="I60" t="str">
        <f>_xlfn.XLOOKUP(F60,'Grade Bands'!$A$2:$A$31,'Grade Bands'!$B$2:$B$31,"Not Found")</f>
        <v>Lead/Manager</v>
      </c>
      <c r="J60">
        <f>_xlfn.XLOOKUP(F60,'Grade Bands'!$A$2:$A$31,'Grade Bands'!$C$2:$C$31,"Not Found")</f>
        <v>360000</v>
      </c>
      <c r="K60">
        <f>_xlfn.XLOOKUP(F60,'Grade Bands'!$A$2:$A$31,'Grade Bands'!$D$2:$D$31,"Not Found")</f>
        <v>650000</v>
      </c>
      <c r="L60" t="str">
        <f t="shared" si="1"/>
        <v>Outside Band</v>
      </c>
      <c r="M60">
        <v>4</v>
      </c>
      <c r="N60" s="10">
        <v>29621</v>
      </c>
      <c r="O60" t="s">
        <v>258</v>
      </c>
      <c r="P60" t="s">
        <v>201</v>
      </c>
      <c r="Q60">
        <v>45</v>
      </c>
      <c r="R60">
        <v>9</v>
      </c>
      <c r="S60">
        <v>3396000</v>
      </c>
      <c r="T60" s="10">
        <v>42786</v>
      </c>
      <c r="U60" s="10"/>
    </row>
    <row r="61" spans="1:21" x14ac:dyDescent="0.35">
      <c r="A61">
        <v>1060</v>
      </c>
      <c r="B61" t="s">
        <v>90</v>
      </c>
      <c r="C61" t="s">
        <v>67</v>
      </c>
      <c r="D61" t="s">
        <v>42</v>
      </c>
      <c r="E61" t="s">
        <v>68</v>
      </c>
      <c r="F61" t="s">
        <v>69</v>
      </c>
      <c r="G61" t="s">
        <v>113</v>
      </c>
      <c r="H61">
        <v>130000</v>
      </c>
      <c r="I61" t="str">
        <f>_xlfn.XLOOKUP(F61,'Grade Bands'!$A$2:$A$31,'Grade Bands'!$B$2:$B$31,"Not Found")</f>
        <v>Officer</v>
      </c>
      <c r="J61">
        <f>_xlfn.XLOOKUP(F61,'Grade Bands'!$A$2:$A$31,'Grade Bands'!$C$2:$C$31,"Not Found")</f>
        <v>110000</v>
      </c>
      <c r="K61">
        <f>_xlfn.XLOOKUP(F61,'Grade Bands'!$A$2:$A$31,'Grade Bands'!$D$2:$D$31,"Not Found")</f>
        <v>230000</v>
      </c>
      <c r="L61" t="str">
        <f t="shared" si="1"/>
        <v>Within Band</v>
      </c>
      <c r="M61">
        <v>2</v>
      </c>
      <c r="N61" s="10">
        <v>31168</v>
      </c>
      <c r="O61" t="s">
        <v>259</v>
      </c>
      <c r="P61" t="s">
        <v>206</v>
      </c>
      <c r="Q61">
        <v>41</v>
      </c>
      <c r="R61">
        <v>2</v>
      </c>
      <c r="S61">
        <v>1560000</v>
      </c>
      <c r="T61" s="10">
        <v>45059</v>
      </c>
      <c r="U61" s="10">
        <v>45935</v>
      </c>
    </row>
    <row r="62" spans="1:21" x14ac:dyDescent="0.35">
      <c r="A62">
        <v>1061</v>
      </c>
      <c r="B62" t="s">
        <v>128</v>
      </c>
      <c r="C62" t="s">
        <v>129</v>
      </c>
      <c r="D62" t="s">
        <v>42</v>
      </c>
      <c r="E62" t="s">
        <v>68</v>
      </c>
      <c r="F62" t="s">
        <v>130</v>
      </c>
      <c r="G62" t="s">
        <v>113</v>
      </c>
      <c r="H62">
        <v>426000</v>
      </c>
      <c r="I62" t="str">
        <f>_xlfn.XLOOKUP(F62,'Grade Bands'!$A$2:$A$31,'Grade Bands'!$B$2:$B$31,"Not Found")</f>
        <v>Lead/Manager</v>
      </c>
      <c r="J62">
        <f>_xlfn.XLOOKUP(F62,'Grade Bands'!$A$2:$A$31,'Grade Bands'!$C$2:$C$31,"Not Found")</f>
        <v>360000</v>
      </c>
      <c r="K62">
        <f>_xlfn.XLOOKUP(F62,'Grade Bands'!$A$2:$A$31,'Grade Bands'!$D$2:$D$31,"Not Found")</f>
        <v>650000</v>
      </c>
      <c r="L62" t="str">
        <f t="shared" si="1"/>
        <v>Within Band</v>
      </c>
      <c r="M62">
        <v>4</v>
      </c>
      <c r="N62" s="10">
        <v>33747</v>
      </c>
      <c r="O62" t="s">
        <v>260</v>
      </c>
      <c r="P62" t="s">
        <v>201</v>
      </c>
      <c r="Q62">
        <v>34</v>
      </c>
      <c r="R62">
        <v>4</v>
      </c>
      <c r="S62">
        <v>5112000</v>
      </c>
      <c r="T62" s="10">
        <v>44574</v>
      </c>
      <c r="U62" s="10"/>
    </row>
    <row r="63" spans="1:21" x14ac:dyDescent="0.35">
      <c r="A63">
        <v>1062</v>
      </c>
      <c r="B63" t="s">
        <v>131</v>
      </c>
      <c r="C63" t="s">
        <v>132</v>
      </c>
      <c r="D63" t="s">
        <v>36</v>
      </c>
      <c r="E63" t="s">
        <v>47</v>
      </c>
      <c r="F63" t="s">
        <v>48</v>
      </c>
      <c r="G63" t="s">
        <v>113</v>
      </c>
      <c r="H63">
        <v>165000</v>
      </c>
      <c r="I63" t="str">
        <f>_xlfn.XLOOKUP(F63,'Grade Bands'!$A$2:$A$31,'Grade Bands'!$B$2:$B$31,"Not Found")</f>
        <v>Officer</v>
      </c>
      <c r="J63">
        <f>_xlfn.XLOOKUP(F63,'Grade Bands'!$A$2:$A$31,'Grade Bands'!$C$2:$C$31,"Not Found")</f>
        <v>110000</v>
      </c>
      <c r="K63">
        <f>_xlfn.XLOOKUP(F63,'Grade Bands'!$A$2:$A$31,'Grade Bands'!$D$2:$D$31,"Not Found")</f>
        <v>230000</v>
      </c>
      <c r="L63" t="str">
        <f t="shared" si="1"/>
        <v>Within Band</v>
      </c>
      <c r="M63">
        <v>3</v>
      </c>
      <c r="N63" s="10">
        <v>30456</v>
      </c>
      <c r="O63" t="s">
        <v>261</v>
      </c>
      <c r="P63" t="s">
        <v>201</v>
      </c>
      <c r="Q63">
        <v>43</v>
      </c>
      <c r="R63">
        <v>4</v>
      </c>
      <c r="S63">
        <v>1980000</v>
      </c>
      <c r="T63" s="10">
        <v>44488</v>
      </c>
      <c r="U63" s="10"/>
    </row>
    <row r="64" spans="1:21" x14ac:dyDescent="0.35">
      <c r="A64">
        <v>1063</v>
      </c>
      <c r="B64" t="s">
        <v>58</v>
      </c>
      <c r="C64" t="s">
        <v>59</v>
      </c>
      <c r="D64" t="s">
        <v>42</v>
      </c>
      <c r="E64" t="s">
        <v>79</v>
      </c>
      <c r="F64" t="s">
        <v>133</v>
      </c>
      <c r="G64" t="s">
        <v>33</v>
      </c>
      <c r="H64">
        <v>504000</v>
      </c>
      <c r="I64" t="str">
        <f>_xlfn.XLOOKUP(F64,'Grade Bands'!$A$2:$A$31,'Grade Bands'!$B$2:$B$31,"Not Found")</f>
        <v>Lead/Manager</v>
      </c>
      <c r="J64">
        <f>_xlfn.XLOOKUP(F64,'Grade Bands'!$A$2:$A$31,'Grade Bands'!$C$2:$C$31,"Not Found")</f>
        <v>360000</v>
      </c>
      <c r="K64">
        <f>_xlfn.XLOOKUP(F64,'Grade Bands'!$A$2:$A$31,'Grade Bands'!$D$2:$D$31,"Not Found")</f>
        <v>650000</v>
      </c>
      <c r="L64" t="str">
        <f t="shared" si="1"/>
        <v>Within Band</v>
      </c>
      <c r="M64">
        <v>2</v>
      </c>
      <c r="N64" s="10">
        <v>28586</v>
      </c>
      <c r="O64" t="s">
        <v>209</v>
      </c>
      <c r="P64" t="s">
        <v>201</v>
      </c>
      <c r="Q64">
        <v>48</v>
      </c>
      <c r="R64">
        <v>4</v>
      </c>
      <c r="S64">
        <v>6048000</v>
      </c>
      <c r="T64" s="10">
        <v>44644</v>
      </c>
      <c r="U64" s="10"/>
    </row>
    <row r="65" spans="1:21" x14ac:dyDescent="0.35">
      <c r="A65">
        <v>1064</v>
      </c>
      <c r="B65" t="s">
        <v>55</v>
      </c>
      <c r="C65" t="s">
        <v>46</v>
      </c>
      <c r="D65" t="s">
        <v>42</v>
      </c>
      <c r="E65" t="s">
        <v>56</v>
      </c>
      <c r="F65" t="s">
        <v>57</v>
      </c>
      <c r="G65" t="s">
        <v>113</v>
      </c>
      <c r="H65">
        <v>154000</v>
      </c>
      <c r="I65" t="str">
        <f>_xlfn.XLOOKUP(F65,'Grade Bands'!$A$2:$A$31,'Grade Bands'!$B$2:$B$31,"Not Found")</f>
        <v>Senior</v>
      </c>
      <c r="J65">
        <f>_xlfn.XLOOKUP(F65,'Grade Bands'!$A$2:$A$31,'Grade Bands'!$C$2:$C$31,"Not Found")</f>
        <v>220000</v>
      </c>
      <c r="K65">
        <f>_xlfn.XLOOKUP(F65,'Grade Bands'!$A$2:$A$31,'Grade Bands'!$D$2:$D$31,"Not Found")</f>
        <v>360000</v>
      </c>
      <c r="L65" t="str">
        <f t="shared" si="1"/>
        <v>Outside Band</v>
      </c>
      <c r="M65">
        <v>3</v>
      </c>
      <c r="N65" s="10">
        <v>28294</v>
      </c>
      <c r="O65" t="s">
        <v>262</v>
      </c>
      <c r="P65" t="s">
        <v>201</v>
      </c>
      <c r="Q65">
        <v>49</v>
      </c>
      <c r="R65">
        <v>2</v>
      </c>
      <c r="S65">
        <v>1848000</v>
      </c>
      <c r="T65" s="10">
        <v>45383</v>
      </c>
      <c r="U65" s="10"/>
    </row>
    <row r="66" spans="1:21" x14ac:dyDescent="0.35">
      <c r="A66">
        <v>1065</v>
      </c>
      <c r="B66" t="s">
        <v>97</v>
      </c>
      <c r="C66" t="s">
        <v>93</v>
      </c>
      <c r="D66" t="s">
        <v>36</v>
      </c>
      <c r="E66" t="s">
        <v>88</v>
      </c>
      <c r="F66" t="s">
        <v>89</v>
      </c>
      <c r="G66" t="s">
        <v>44</v>
      </c>
      <c r="H66">
        <v>133000</v>
      </c>
      <c r="I66" t="str">
        <f>_xlfn.XLOOKUP(F66,'Grade Bands'!$A$2:$A$31,'Grade Bands'!$B$2:$B$31,"Not Found")</f>
        <v>Officer</v>
      </c>
      <c r="J66">
        <f>_xlfn.XLOOKUP(F66,'Grade Bands'!$A$2:$A$31,'Grade Bands'!$C$2:$C$31,"Not Found")</f>
        <v>110000</v>
      </c>
      <c r="K66">
        <f>_xlfn.XLOOKUP(F66,'Grade Bands'!$A$2:$A$31,'Grade Bands'!$D$2:$D$31,"Not Found")</f>
        <v>230000</v>
      </c>
      <c r="L66" t="str">
        <f t="shared" ref="L66:L97" si="2">IF(AND(H66&gt;=J66,H66&lt;=K66),"Within Band","Outside Band")</f>
        <v>Within Band</v>
      </c>
      <c r="M66">
        <v>1</v>
      </c>
      <c r="N66" s="10">
        <v>32000</v>
      </c>
      <c r="O66" t="s">
        <v>263</v>
      </c>
      <c r="P66" t="s">
        <v>201</v>
      </c>
      <c r="Q66">
        <v>38</v>
      </c>
      <c r="R66">
        <v>7</v>
      </c>
      <c r="S66">
        <v>1596000</v>
      </c>
      <c r="T66" s="10">
        <v>43658</v>
      </c>
      <c r="U66" s="10"/>
    </row>
    <row r="67" spans="1:21" x14ac:dyDescent="0.35">
      <c r="A67">
        <v>1066</v>
      </c>
      <c r="B67" t="s">
        <v>81</v>
      </c>
      <c r="C67" t="s">
        <v>67</v>
      </c>
      <c r="D67" t="s">
        <v>36</v>
      </c>
      <c r="E67" t="s">
        <v>65</v>
      </c>
      <c r="F67" t="s">
        <v>66</v>
      </c>
      <c r="G67" t="s">
        <v>33</v>
      </c>
      <c r="H67">
        <v>215000</v>
      </c>
      <c r="I67" t="str">
        <f>_xlfn.XLOOKUP(F67,'Grade Bands'!$A$2:$A$31,'Grade Bands'!$B$2:$B$31,"Not Found")</f>
        <v>Officer</v>
      </c>
      <c r="J67">
        <f>_xlfn.XLOOKUP(F67,'Grade Bands'!$A$2:$A$31,'Grade Bands'!$C$2:$C$31,"Not Found")</f>
        <v>110000</v>
      </c>
      <c r="K67">
        <f>_xlfn.XLOOKUP(F67,'Grade Bands'!$A$2:$A$31,'Grade Bands'!$D$2:$D$31,"Not Found")</f>
        <v>230000</v>
      </c>
      <c r="L67" t="str">
        <f t="shared" si="2"/>
        <v>Within Band</v>
      </c>
      <c r="M67">
        <v>4</v>
      </c>
      <c r="N67" s="10">
        <v>35419</v>
      </c>
      <c r="O67" t="s">
        <v>264</v>
      </c>
      <c r="P67" t="s">
        <v>206</v>
      </c>
      <c r="Q67">
        <v>29</v>
      </c>
      <c r="R67">
        <v>7</v>
      </c>
      <c r="S67">
        <v>2580000</v>
      </c>
      <c r="T67" s="10">
        <v>42602</v>
      </c>
      <c r="U67" s="10">
        <v>45250</v>
      </c>
    </row>
    <row r="68" spans="1:21" x14ac:dyDescent="0.35">
      <c r="A68">
        <v>1067</v>
      </c>
      <c r="B68" t="s">
        <v>135</v>
      </c>
      <c r="C68" t="s">
        <v>67</v>
      </c>
      <c r="D68" t="s">
        <v>42</v>
      </c>
      <c r="E68" t="s">
        <v>65</v>
      </c>
      <c r="F68" t="s">
        <v>66</v>
      </c>
      <c r="G68" t="s">
        <v>62</v>
      </c>
      <c r="H68">
        <v>177000</v>
      </c>
      <c r="I68" t="str">
        <f>_xlfn.XLOOKUP(F68,'Grade Bands'!$A$2:$A$31,'Grade Bands'!$B$2:$B$31,"Not Found")</f>
        <v>Officer</v>
      </c>
      <c r="J68">
        <f>_xlfn.XLOOKUP(F68,'Grade Bands'!$A$2:$A$31,'Grade Bands'!$C$2:$C$31,"Not Found")</f>
        <v>110000</v>
      </c>
      <c r="K68">
        <f>_xlfn.XLOOKUP(F68,'Grade Bands'!$A$2:$A$31,'Grade Bands'!$D$2:$D$31,"Not Found")</f>
        <v>230000</v>
      </c>
      <c r="L68" t="str">
        <f t="shared" si="2"/>
        <v>Within Band</v>
      </c>
      <c r="M68">
        <v>3</v>
      </c>
      <c r="N68" s="10">
        <v>28467</v>
      </c>
      <c r="O68" t="s">
        <v>265</v>
      </c>
      <c r="P68" t="s">
        <v>201</v>
      </c>
      <c r="Q68">
        <v>48</v>
      </c>
      <c r="R68">
        <v>7</v>
      </c>
      <c r="S68">
        <v>2124000</v>
      </c>
      <c r="T68" s="10">
        <v>43573</v>
      </c>
      <c r="U68" s="10"/>
    </row>
    <row r="69" spans="1:21" x14ac:dyDescent="0.35">
      <c r="A69">
        <v>1068</v>
      </c>
      <c r="B69" t="s">
        <v>86</v>
      </c>
      <c r="C69" t="s">
        <v>136</v>
      </c>
      <c r="D69" t="s">
        <v>42</v>
      </c>
      <c r="E69" t="s">
        <v>37</v>
      </c>
      <c r="F69" t="s">
        <v>38</v>
      </c>
      <c r="G69" t="s">
        <v>113</v>
      </c>
      <c r="H69">
        <v>122000</v>
      </c>
      <c r="I69" t="str">
        <f>_xlfn.XLOOKUP(F69,'Grade Bands'!$A$2:$A$31,'Grade Bands'!$B$2:$B$31,"Not Found")</f>
        <v>Officer</v>
      </c>
      <c r="J69">
        <f>_xlfn.XLOOKUP(F69,'Grade Bands'!$A$2:$A$31,'Grade Bands'!$C$2:$C$31,"Not Found")</f>
        <v>110000</v>
      </c>
      <c r="K69">
        <f>_xlfn.XLOOKUP(F69,'Grade Bands'!$A$2:$A$31,'Grade Bands'!$D$2:$D$31,"Not Found")</f>
        <v>230000</v>
      </c>
      <c r="L69" t="str">
        <f t="shared" si="2"/>
        <v>Within Band</v>
      </c>
      <c r="M69">
        <v>4</v>
      </c>
      <c r="N69" s="10">
        <v>34672</v>
      </c>
      <c r="O69" t="s">
        <v>266</v>
      </c>
      <c r="P69" t="s">
        <v>201</v>
      </c>
      <c r="Q69">
        <v>31</v>
      </c>
      <c r="R69">
        <v>6</v>
      </c>
      <c r="S69">
        <v>1464000</v>
      </c>
      <c r="T69" s="10">
        <v>44018</v>
      </c>
      <c r="U69" s="10"/>
    </row>
    <row r="70" spans="1:21" x14ac:dyDescent="0.35">
      <c r="A70">
        <v>1069</v>
      </c>
      <c r="B70" t="s">
        <v>137</v>
      </c>
      <c r="C70" t="s">
        <v>70</v>
      </c>
      <c r="D70" t="s">
        <v>42</v>
      </c>
      <c r="E70" t="s">
        <v>79</v>
      </c>
      <c r="F70" t="s">
        <v>32</v>
      </c>
      <c r="G70" t="s">
        <v>33</v>
      </c>
      <c r="H70">
        <v>154000</v>
      </c>
      <c r="I70" t="str">
        <f>_xlfn.XLOOKUP(F70,'Grade Bands'!$A$2:$A$31,'Grade Bands'!$B$2:$B$31,"Not Found")</f>
        <v>Officer</v>
      </c>
      <c r="J70">
        <f>_xlfn.XLOOKUP(F70,'Grade Bands'!$A$2:$A$31,'Grade Bands'!$C$2:$C$31,"Not Found")</f>
        <v>110000</v>
      </c>
      <c r="K70">
        <f>_xlfn.XLOOKUP(F70,'Grade Bands'!$A$2:$A$31,'Grade Bands'!$D$2:$D$31,"Not Found")</f>
        <v>230000</v>
      </c>
      <c r="L70" t="str">
        <f t="shared" si="2"/>
        <v>Within Band</v>
      </c>
      <c r="M70">
        <v>3</v>
      </c>
      <c r="N70" s="10">
        <v>30062</v>
      </c>
      <c r="O70" t="s">
        <v>267</v>
      </c>
      <c r="P70" t="s">
        <v>201</v>
      </c>
      <c r="Q70">
        <v>44</v>
      </c>
      <c r="R70">
        <v>3</v>
      </c>
      <c r="S70">
        <v>1848000</v>
      </c>
      <c r="T70" s="10">
        <v>44900</v>
      </c>
      <c r="U70" s="10"/>
    </row>
    <row r="71" spans="1:21" x14ac:dyDescent="0.35">
      <c r="A71">
        <v>1070</v>
      </c>
      <c r="B71" t="s">
        <v>92</v>
      </c>
      <c r="C71" t="s">
        <v>29</v>
      </c>
      <c r="D71" t="s">
        <v>42</v>
      </c>
      <c r="E71" t="s">
        <v>56</v>
      </c>
      <c r="F71" t="s">
        <v>120</v>
      </c>
      <c r="G71" t="s">
        <v>62</v>
      </c>
      <c r="H71">
        <v>131000</v>
      </c>
      <c r="I71" t="str">
        <f>_xlfn.XLOOKUP(F71,'Grade Bands'!$A$2:$A$31,'Grade Bands'!$B$2:$B$31,"Not Found")</f>
        <v>Officer</v>
      </c>
      <c r="J71">
        <f>_xlfn.XLOOKUP(F71,'Grade Bands'!$A$2:$A$31,'Grade Bands'!$C$2:$C$31,"Not Found")</f>
        <v>110000</v>
      </c>
      <c r="K71">
        <f>_xlfn.XLOOKUP(F71,'Grade Bands'!$A$2:$A$31,'Grade Bands'!$D$2:$D$31,"Not Found")</f>
        <v>230000</v>
      </c>
      <c r="L71" t="str">
        <f t="shared" si="2"/>
        <v>Within Band</v>
      </c>
      <c r="M71">
        <v>3</v>
      </c>
      <c r="N71" s="10">
        <v>30546</v>
      </c>
      <c r="O71" t="s">
        <v>268</v>
      </c>
      <c r="P71" t="s">
        <v>206</v>
      </c>
      <c r="Q71">
        <v>42</v>
      </c>
      <c r="R71">
        <v>4</v>
      </c>
      <c r="S71">
        <v>1572000</v>
      </c>
      <c r="T71" s="10">
        <v>43631</v>
      </c>
      <c r="U71" s="10">
        <v>45393</v>
      </c>
    </row>
    <row r="72" spans="1:21" x14ac:dyDescent="0.35">
      <c r="A72">
        <v>1071</v>
      </c>
      <c r="B72" t="s">
        <v>138</v>
      </c>
      <c r="C72" t="s">
        <v>139</v>
      </c>
      <c r="D72" t="s">
        <v>42</v>
      </c>
      <c r="E72" t="s">
        <v>88</v>
      </c>
      <c r="F72" t="s">
        <v>89</v>
      </c>
      <c r="G72" t="s">
        <v>33</v>
      </c>
      <c r="H72">
        <v>214000</v>
      </c>
      <c r="I72" t="str">
        <f>_xlfn.XLOOKUP(F72,'Grade Bands'!$A$2:$A$31,'Grade Bands'!$B$2:$B$31,"Not Found")</f>
        <v>Officer</v>
      </c>
      <c r="J72">
        <f>_xlfn.XLOOKUP(F72,'Grade Bands'!$A$2:$A$31,'Grade Bands'!$C$2:$C$31,"Not Found")</f>
        <v>110000</v>
      </c>
      <c r="K72">
        <f>_xlfn.XLOOKUP(F72,'Grade Bands'!$A$2:$A$31,'Grade Bands'!$D$2:$D$31,"Not Found")</f>
        <v>230000</v>
      </c>
      <c r="L72" t="str">
        <f t="shared" si="2"/>
        <v>Within Band</v>
      </c>
      <c r="M72">
        <v>4</v>
      </c>
      <c r="N72" s="10">
        <v>31058</v>
      </c>
      <c r="O72" t="s">
        <v>269</v>
      </c>
      <c r="P72" t="s">
        <v>201</v>
      </c>
      <c r="Q72">
        <v>41</v>
      </c>
      <c r="R72">
        <v>3</v>
      </c>
      <c r="S72">
        <v>2568000</v>
      </c>
      <c r="T72" s="10">
        <v>44799</v>
      </c>
      <c r="U72" s="10"/>
    </row>
    <row r="73" spans="1:21" x14ac:dyDescent="0.35">
      <c r="A73">
        <v>1072</v>
      </c>
      <c r="B73" t="s">
        <v>140</v>
      </c>
      <c r="C73" t="s">
        <v>93</v>
      </c>
      <c r="D73" t="s">
        <v>36</v>
      </c>
      <c r="E73" t="s">
        <v>37</v>
      </c>
      <c r="F73" t="s">
        <v>38</v>
      </c>
      <c r="G73" t="s">
        <v>62</v>
      </c>
      <c r="H73">
        <v>151000</v>
      </c>
      <c r="I73" t="str">
        <f>_xlfn.XLOOKUP(F73,'Grade Bands'!$A$2:$A$31,'Grade Bands'!$B$2:$B$31,"Not Found")</f>
        <v>Officer</v>
      </c>
      <c r="J73">
        <f>_xlfn.XLOOKUP(F73,'Grade Bands'!$A$2:$A$31,'Grade Bands'!$C$2:$C$31,"Not Found")</f>
        <v>110000</v>
      </c>
      <c r="K73">
        <f>_xlfn.XLOOKUP(F73,'Grade Bands'!$A$2:$A$31,'Grade Bands'!$D$2:$D$31,"Not Found")</f>
        <v>230000</v>
      </c>
      <c r="L73" t="str">
        <f t="shared" si="2"/>
        <v>Within Band</v>
      </c>
      <c r="M73">
        <v>5</v>
      </c>
      <c r="N73" s="10">
        <v>34106</v>
      </c>
      <c r="O73" t="s">
        <v>270</v>
      </c>
      <c r="P73" t="s">
        <v>201</v>
      </c>
      <c r="Q73">
        <v>33</v>
      </c>
      <c r="R73">
        <v>8</v>
      </c>
      <c r="S73">
        <v>1812000</v>
      </c>
      <c r="T73" s="10">
        <v>43181</v>
      </c>
      <c r="U73" s="10"/>
    </row>
    <row r="74" spans="1:21" x14ac:dyDescent="0.35">
      <c r="A74">
        <v>1073</v>
      </c>
      <c r="B74" t="s">
        <v>141</v>
      </c>
      <c r="C74" t="s">
        <v>29</v>
      </c>
      <c r="D74" t="s">
        <v>36</v>
      </c>
      <c r="E74" t="s">
        <v>79</v>
      </c>
      <c r="F74" t="s">
        <v>80</v>
      </c>
      <c r="G74" t="s">
        <v>44</v>
      </c>
      <c r="H74">
        <v>175000</v>
      </c>
      <c r="I74" t="str">
        <f>_xlfn.XLOOKUP(F74,'Grade Bands'!$A$2:$A$31,'Grade Bands'!$B$2:$B$31,"Not Found")</f>
        <v>Senior</v>
      </c>
      <c r="J74">
        <f>_xlfn.XLOOKUP(F74,'Grade Bands'!$A$2:$A$31,'Grade Bands'!$C$2:$C$31,"Not Found")</f>
        <v>220000</v>
      </c>
      <c r="K74">
        <f>_xlfn.XLOOKUP(F74,'Grade Bands'!$A$2:$A$31,'Grade Bands'!$D$2:$D$31,"Not Found")</f>
        <v>360000</v>
      </c>
      <c r="L74" t="str">
        <f t="shared" si="2"/>
        <v>Outside Band</v>
      </c>
      <c r="M74">
        <v>4</v>
      </c>
      <c r="N74" s="10">
        <v>30703</v>
      </c>
      <c r="O74" t="s">
        <v>271</v>
      </c>
      <c r="P74" t="s">
        <v>201</v>
      </c>
      <c r="Q74">
        <v>42</v>
      </c>
      <c r="R74">
        <v>7</v>
      </c>
      <c r="S74">
        <v>2100000</v>
      </c>
      <c r="T74" s="10">
        <v>43368</v>
      </c>
      <c r="U74" s="10"/>
    </row>
    <row r="75" spans="1:21" x14ac:dyDescent="0.35">
      <c r="A75">
        <v>1074</v>
      </c>
      <c r="B75" t="s">
        <v>78</v>
      </c>
      <c r="C75" t="s">
        <v>142</v>
      </c>
      <c r="D75" t="s">
        <v>36</v>
      </c>
      <c r="E75" t="s">
        <v>56</v>
      </c>
      <c r="F75" t="s">
        <v>143</v>
      </c>
      <c r="G75" t="s">
        <v>44</v>
      </c>
      <c r="H75">
        <v>262000</v>
      </c>
      <c r="I75" t="str">
        <f>_xlfn.XLOOKUP(F75,'Grade Bands'!$A$2:$A$31,'Grade Bands'!$B$2:$B$31,"Not Found")</f>
        <v>Officer</v>
      </c>
      <c r="J75">
        <f>_xlfn.XLOOKUP(F75,'Grade Bands'!$A$2:$A$31,'Grade Bands'!$C$2:$C$31,"Not Found")</f>
        <v>110000</v>
      </c>
      <c r="K75">
        <f>_xlfn.XLOOKUP(F75,'Grade Bands'!$A$2:$A$31,'Grade Bands'!$D$2:$D$31,"Not Found")</f>
        <v>230000</v>
      </c>
      <c r="L75" t="str">
        <f t="shared" si="2"/>
        <v>Outside Band</v>
      </c>
      <c r="M75">
        <v>4</v>
      </c>
      <c r="N75" s="10">
        <v>32514</v>
      </c>
      <c r="O75" t="s">
        <v>272</v>
      </c>
      <c r="P75" t="s">
        <v>201</v>
      </c>
      <c r="Q75">
        <v>37</v>
      </c>
      <c r="R75">
        <v>2</v>
      </c>
      <c r="S75">
        <v>3144000</v>
      </c>
      <c r="T75" s="10">
        <v>45472</v>
      </c>
      <c r="U75" s="10"/>
    </row>
    <row r="76" spans="1:21" x14ac:dyDescent="0.35">
      <c r="A76">
        <v>1075</v>
      </c>
      <c r="B76" t="s">
        <v>144</v>
      </c>
      <c r="C76" t="s">
        <v>108</v>
      </c>
      <c r="D76" t="s">
        <v>36</v>
      </c>
      <c r="E76" t="s">
        <v>56</v>
      </c>
      <c r="F76" t="s">
        <v>145</v>
      </c>
      <c r="G76" t="s">
        <v>39</v>
      </c>
      <c r="H76">
        <v>432000</v>
      </c>
      <c r="I76" t="str">
        <f>_xlfn.XLOOKUP(F76,'Grade Bands'!$A$2:$A$31,'Grade Bands'!$B$2:$B$31,"Not Found")</f>
        <v>Lead/Manager</v>
      </c>
      <c r="J76">
        <f>_xlfn.XLOOKUP(F76,'Grade Bands'!$A$2:$A$31,'Grade Bands'!$C$2:$C$31,"Not Found")</f>
        <v>360000</v>
      </c>
      <c r="K76">
        <f>_xlfn.XLOOKUP(F76,'Grade Bands'!$A$2:$A$31,'Grade Bands'!$D$2:$D$31,"Not Found")</f>
        <v>650000</v>
      </c>
      <c r="L76" t="str">
        <f t="shared" si="2"/>
        <v>Within Band</v>
      </c>
      <c r="M76">
        <v>1</v>
      </c>
      <c r="N76" s="10">
        <v>34874</v>
      </c>
      <c r="O76" t="s">
        <v>273</v>
      </c>
      <c r="P76" t="s">
        <v>201</v>
      </c>
      <c r="Q76">
        <v>31</v>
      </c>
      <c r="R76">
        <v>9</v>
      </c>
      <c r="S76">
        <v>5184000</v>
      </c>
      <c r="T76" s="10">
        <v>42586</v>
      </c>
      <c r="U76" s="10"/>
    </row>
    <row r="77" spans="1:21" x14ac:dyDescent="0.35">
      <c r="A77">
        <v>1076</v>
      </c>
      <c r="B77" t="s">
        <v>76</v>
      </c>
      <c r="C77" t="s">
        <v>87</v>
      </c>
      <c r="D77" t="s">
        <v>36</v>
      </c>
      <c r="E77" t="s">
        <v>51</v>
      </c>
      <c r="F77" t="s">
        <v>52</v>
      </c>
      <c r="G77" t="s">
        <v>44</v>
      </c>
      <c r="H77">
        <v>201000</v>
      </c>
      <c r="I77" t="str">
        <f>_xlfn.XLOOKUP(F77,'Grade Bands'!$A$2:$A$31,'Grade Bands'!$B$2:$B$31,"Not Found")</f>
        <v>Officer</v>
      </c>
      <c r="J77">
        <f>_xlfn.XLOOKUP(F77,'Grade Bands'!$A$2:$A$31,'Grade Bands'!$C$2:$C$31,"Not Found")</f>
        <v>110000</v>
      </c>
      <c r="K77">
        <f>_xlfn.XLOOKUP(F77,'Grade Bands'!$A$2:$A$31,'Grade Bands'!$D$2:$D$31,"Not Found")</f>
        <v>230000</v>
      </c>
      <c r="L77" t="str">
        <f t="shared" si="2"/>
        <v>Within Band</v>
      </c>
      <c r="M77">
        <v>4</v>
      </c>
      <c r="N77" s="10">
        <v>28831</v>
      </c>
      <c r="O77" t="s">
        <v>274</v>
      </c>
      <c r="P77" t="s">
        <v>201</v>
      </c>
      <c r="Q77">
        <v>47</v>
      </c>
      <c r="R77">
        <v>5</v>
      </c>
      <c r="S77">
        <v>2412000</v>
      </c>
      <c r="T77" s="10">
        <v>44137</v>
      </c>
      <c r="U77" s="10"/>
    </row>
    <row r="78" spans="1:21" x14ac:dyDescent="0.35">
      <c r="A78">
        <v>1077</v>
      </c>
      <c r="B78" t="s">
        <v>78</v>
      </c>
      <c r="C78" t="s">
        <v>60</v>
      </c>
      <c r="D78" t="s">
        <v>36</v>
      </c>
      <c r="E78" t="s">
        <v>51</v>
      </c>
      <c r="F78" t="s">
        <v>52</v>
      </c>
      <c r="G78" t="s">
        <v>39</v>
      </c>
      <c r="H78">
        <v>114000</v>
      </c>
      <c r="I78" t="str">
        <f>_xlfn.XLOOKUP(F78,'Grade Bands'!$A$2:$A$31,'Grade Bands'!$B$2:$B$31,"Not Found")</f>
        <v>Officer</v>
      </c>
      <c r="J78">
        <f>_xlfn.XLOOKUP(F78,'Grade Bands'!$A$2:$A$31,'Grade Bands'!$C$2:$C$31,"Not Found")</f>
        <v>110000</v>
      </c>
      <c r="K78">
        <f>_xlfn.XLOOKUP(F78,'Grade Bands'!$A$2:$A$31,'Grade Bands'!$D$2:$D$31,"Not Found")</f>
        <v>230000</v>
      </c>
      <c r="L78" t="str">
        <f t="shared" si="2"/>
        <v>Within Band</v>
      </c>
      <c r="M78">
        <v>3</v>
      </c>
      <c r="N78" s="10">
        <v>32497</v>
      </c>
      <c r="O78" t="s">
        <v>275</v>
      </c>
      <c r="P78" t="s">
        <v>201</v>
      </c>
      <c r="Q78">
        <v>37</v>
      </c>
      <c r="R78">
        <v>6</v>
      </c>
      <c r="S78">
        <v>1368000</v>
      </c>
      <c r="T78" s="10">
        <v>43880</v>
      </c>
      <c r="U78" s="10"/>
    </row>
    <row r="79" spans="1:21" x14ac:dyDescent="0.35">
      <c r="A79">
        <v>1078</v>
      </c>
      <c r="B79" t="s">
        <v>73</v>
      </c>
      <c r="C79" t="s">
        <v>124</v>
      </c>
      <c r="D79" t="s">
        <v>36</v>
      </c>
      <c r="E79" t="s">
        <v>88</v>
      </c>
      <c r="F79" t="s">
        <v>89</v>
      </c>
      <c r="G79" t="s">
        <v>39</v>
      </c>
      <c r="H79">
        <v>165000</v>
      </c>
      <c r="I79" t="str">
        <f>_xlfn.XLOOKUP(F79,'Grade Bands'!$A$2:$A$31,'Grade Bands'!$B$2:$B$31,"Not Found")</f>
        <v>Officer</v>
      </c>
      <c r="J79">
        <f>_xlfn.XLOOKUP(F79,'Grade Bands'!$A$2:$A$31,'Grade Bands'!$C$2:$C$31,"Not Found")</f>
        <v>110000</v>
      </c>
      <c r="K79">
        <f>_xlfn.XLOOKUP(F79,'Grade Bands'!$A$2:$A$31,'Grade Bands'!$D$2:$D$31,"Not Found")</f>
        <v>230000</v>
      </c>
      <c r="L79" t="str">
        <f t="shared" si="2"/>
        <v>Within Band</v>
      </c>
      <c r="M79">
        <v>3</v>
      </c>
      <c r="N79" s="10">
        <v>36840</v>
      </c>
      <c r="O79" t="s">
        <v>276</v>
      </c>
      <c r="P79" t="s">
        <v>206</v>
      </c>
      <c r="Q79">
        <v>25</v>
      </c>
      <c r="R79">
        <v>1</v>
      </c>
      <c r="S79">
        <v>1980000</v>
      </c>
      <c r="T79" s="10">
        <v>45618</v>
      </c>
      <c r="U79" s="10">
        <v>46022</v>
      </c>
    </row>
    <row r="80" spans="1:21" x14ac:dyDescent="0.35">
      <c r="A80">
        <v>1079</v>
      </c>
      <c r="B80" t="s">
        <v>146</v>
      </c>
      <c r="C80" t="s">
        <v>46</v>
      </c>
      <c r="D80" t="s">
        <v>42</v>
      </c>
      <c r="E80" t="s">
        <v>88</v>
      </c>
      <c r="F80" t="s">
        <v>89</v>
      </c>
      <c r="G80" t="s">
        <v>44</v>
      </c>
      <c r="H80">
        <v>191000</v>
      </c>
      <c r="I80" t="str">
        <f>_xlfn.XLOOKUP(F80,'Grade Bands'!$A$2:$A$31,'Grade Bands'!$B$2:$B$31,"Not Found")</f>
        <v>Officer</v>
      </c>
      <c r="J80">
        <f>_xlfn.XLOOKUP(F80,'Grade Bands'!$A$2:$A$31,'Grade Bands'!$C$2:$C$31,"Not Found")</f>
        <v>110000</v>
      </c>
      <c r="K80">
        <f>_xlfn.XLOOKUP(F80,'Grade Bands'!$A$2:$A$31,'Grade Bands'!$D$2:$D$31,"Not Found")</f>
        <v>230000</v>
      </c>
      <c r="L80" t="str">
        <f t="shared" si="2"/>
        <v>Within Band</v>
      </c>
      <c r="M80">
        <v>4</v>
      </c>
      <c r="N80" s="10">
        <v>30974</v>
      </c>
      <c r="O80" t="s">
        <v>277</v>
      </c>
      <c r="P80" t="s">
        <v>201</v>
      </c>
      <c r="Q80">
        <v>41</v>
      </c>
      <c r="R80">
        <v>9</v>
      </c>
      <c r="S80">
        <v>2292000</v>
      </c>
      <c r="T80" s="10">
        <v>42923</v>
      </c>
      <c r="U80" s="10"/>
    </row>
    <row r="81" spans="1:21" x14ac:dyDescent="0.35">
      <c r="A81">
        <v>1080</v>
      </c>
      <c r="B81" t="s">
        <v>115</v>
      </c>
      <c r="C81" t="s">
        <v>118</v>
      </c>
      <c r="D81" t="s">
        <v>42</v>
      </c>
      <c r="E81" t="s">
        <v>37</v>
      </c>
      <c r="F81" t="s">
        <v>38</v>
      </c>
      <c r="G81" t="s">
        <v>62</v>
      </c>
      <c r="H81">
        <v>145000</v>
      </c>
      <c r="I81" t="str">
        <f>_xlfn.XLOOKUP(F81,'Grade Bands'!$A$2:$A$31,'Grade Bands'!$B$2:$B$31,"Not Found")</f>
        <v>Officer</v>
      </c>
      <c r="J81">
        <f>_xlfn.XLOOKUP(F81,'Grade Bands'!$A$2:$A$31,'Grade Bands'!$C$2:$C$31,"Not Found")</f>
        <v>110000</v>
      </c>
      <c r="K81">
        <f>_xlfn.XLOOKUP(F81,'Grade Bands'!$A$2:$A$31,'Grade Bands'!$D$2:$D$31,"Not Found")</f>
        <v>230000</v>
      </c>
      <c r="L81" t="str">
        <f t="shared" si="2"/>
        <v>Within Band</v>
      </c>
      <c r="M81">
        <v>3</v>
      </c>
      <c r="N81" s="10">
        <v>27628</v>
      </c>
      <c r="O81" t="s">
        <v>278</v>
      </c>
      <c r="P81" t="s">
        <v>201</v>
      </c>
      <c r="Q81">
        <v>50</v>
      </c>
      <c r="R81">
        <v>3</v>
      </c>
      <c r="S81">
        <v>1740000</v>
      </c>
      <c r="T81" s="10">
        <v>44883</v>
      </c>
      <c r="U81" s="10"/>
    </row>
    <row r="82" spans="1:21" x14ac:dyDescent="0.35">
      <c r="A82">
        <v>1081</v>
      </c>
      <c r="B82" t="s">
        <v>146</v>
      </c>
      <c r="C82" t="s">
        <v>108</v>
      </c>
      <c r="D82" t="s">
        <v>42</v>
      </c>
      <c r="E82" t="s">
        <v>51</v>
      </c>
      <c r="F82" t="s">
        <v>52</v>
      </c>
      <c r="G82" t="s">
        <v>33</v>
      </c>
      <c r="H82">
        <v>123000</v>
      </c>
      <c r="I82" t="str">
        <f>_xlfn.XLOOKUP(F82,'Grade Bands'!$A$2:$A$31,'Grade Bands'!$B$2:$B$31,"Not Found")</f>
        <v>Officer</v>
      </c>
      <c r="J82">
        <f>_xlfn.XLOOKUP(F82,'Grade Bands'!$A$2:$A$31,'Grade Bands'!$C$2:$C$31,"Not Found")</f>
        <v>110000</v>
      </c>
      <c r="K82">
        <f>_xlfn.XLOOKUP(F82,'Grade Bands'!$A$2:$A$31,'Grade Bands'!$D$2:$D$31,"Not Found")</f>
        <v>230000</v>
      </c>
      <c r="L82" t="str">
        <f t="shared" si="2"/>
        <v>Within Band</v>
      </c>
      <c r="M82">
        <v>3</v>
      </c>
      <c r="N82" s="10">
        <v>34988</v>
      </c>
      <c r="O82" t="s">
        <v>279</v>
      </c>
      <c r="P82" t="s">
        <v>201</v>
      </c>
      <c r="Q82">
        <v>30</v>
      </c>
      <c r="R82">
        <v>8</v>
      </c>
      <c r="S82">
        <v>1476000</v>
      </c>
      <c r="T82" s="10">
        <v>43107</v>
      </c>
      <c r="U82" s="10"/>
    </row>
    <row r="83" spans="1:21" x14ac:dyDescent="0.35">
      <c r="A83">
        <v>1082</v>
      </c>
      <c r="B83" t="s">
        <v>147</v>
      </c>
      <c r="C83" t="s">
        <v>122</v>
      </c>
      <c r="D83" t="s">
        <v>42</v>
      </c>
      <c r="E83" t="s">
        <v>47</v>
      </c>
      <c r="F83" t="s">
        <v>126</v>
      </c>
      <c r="G83" t="s">
        <v>113</v>
      </c>
      <c r="H83">
        <v>242000</v>
      </c>
      <c r="I83" t="str">
        <f>_xlfn.XLOOKUP(F83,'Grade Bands'!$A$2:$A$31,'Grade Bands'!$B$2:$B$31,"Not Found")</f>
        <v>Lead/Manager</v>
      </c>
      <c r="J83">
        <f>_xlfn.XLOOKUP(F83,'Grade Bands'!$A$2:$A$31,'Grade Bands'!$C$2:$C$31,"Not Found")</f>
        <v>360000</v>
      </c>
      <c r="K83">
        <f>_xlfn.XLOOKUP(F83,'Grade Bands'!$A$2:$A$31,'Grade Bands'!$D$2:$D$31,"Not Found")</f>
        <v>650000</v>
      </c>
      <c r="L83" t="str">
        <f t="shared" si="2"/>
        <v>Outside Band</v>
      </c>
      <c r="M83">
        <v>4</v>
      </c>
      <c r="N83" s="10">
        <v>33106</v>
      </c>
      <c r="O83" t="s">
        <v>280</v>
      </c>
      <c r="P83" t="s">
        <v>201</v>
      </c>
      <c r="Q83">
        <v>35</v>
      </c>
      <c r="R83">
        <v>6</v>
      </c>
      <c r="S83">
        <v>2904000</v>
      </c>
      <c r="T83" s="10">
        <v>43732</v>
      </c>
      <c r="U83" s="10"/>
    </row>
    <row r="84" spans="1:21" x14ac:dyDescent="0.35">
      <c r="A84">
        <v>1083</v>
      </c>
      <c r="B84" t="s">
        <v>58</v>
      </c>
      <c r="C84" t="s">
        <v>118</v>
      </c>
      <c r="D84" t="s">
        <v>42</v>
      </c>
      <c r="E84" t="s">
        <v>68</v>
      </c>
      <c r="F84" t="s">
        <v>85</v>
      </c>
      <c r="G84" t="s">
        <v>39</v>
      </c>
      <c r="H84">
        <v>202000</v>
      </c>
      <c r="I84" t="str">
        <f>_xlfn.XLOOKUP(F84,'Grade Bands'!$A$2:$A$31,'Grade Bands'!$B$2:$B$31,"Not Found")</f>
        <v>Officer</v>
      </c>
      <c r="J84">
        <f>_xlfn.XLOOKUP(F84,'Grade Bands'!$A$2:$A$31,'Grade Bands'!$C$2:$C$31,"Not Found")</f>
        <v>110000</v>
      </c>
      <c r="K84">
        <f>_xlfn.XLOOKUP(F84,'Grade Bands'!$A$2:$A$31,'Grade Bands'!$D$2:$D$31,"Not Found")</f>
        <v>230000</v>
      </c>
      <c r="L84" t="str">
        <f t="shared" si="2"/>
        <v>Within Band</v>
      </c>
      <c r="M84">
        <v>3</v>
      </c>
      <c r="N84" s="10">
        <v>29008</v>
      </c>
      <c r="O84" t="s">
        <v>281</v>
      </c>
      <c r="P84" t="s">
        <v>201</v>
      </c>
      <c r="Q84">
        <v>47</v>
      </c>
      <c r="R84">
        <v>10</v>
      </c>
      <c r="S84">
        <v>2424000</v>
      </c>
      <c r="T84" s="10">
        <v>42521</v>
      </c>
      <c r="U84" s="10"/>
    </row>
    <row r="85" spans="1:21" x14ac:dyDescent="0.35">
      <c r="A85">
        <v>1084</v>
      </c>
      <c r="B85" t="s">
        <v>111</v>
      </c>
      <c r="C85" t="s">
        <v>46</v>
      </c>
      <c r="D85" t="s">
        <v>42</v>
      </c>
      <c r="E85" t="s">
        <v>68</v>
      </c>
      <c r="F85" t="s">
        <v>105</v>
      </c>
      <c r="G85" t="s">
        <v>33</v>
      </c>
      <c r="H85">
        <v>272000</v>
      </c>
      <c r="I85" t="str">
        <f>_xlfn.XLOOKUP(F85,'Grade Bands'!$A$2:$A$31,'Grade Bands'!$B$2:$B$31,"Not Found")</f>
        <v>Senior</v>
      </c>
      <c r="J85">
        <f>_xlfn.XLOOKUP(F85,'Grade Bands'!$A$2:$A$31,'Grade Bands'!$C$2:$C$31,"Not Found")</f>
        <v>220000</v>
      </c>
      <c r="K85">
        <f>_xlfn.XLOOKUP(F85,'Grade Bands'!$A$2:$A$31,'Grade Bands'!$D$2:$D$31,"Not Found")</f>
        <v>360000</v>
      </c>
      <c r="L85" t="str">
        <f t="shared" si="2"/>
        <v>Within Band</v>
      </c>
      <c r="M85">
        <v>3</v>
      </c>
      <c r="N85" s="10">
        <v>33909</v>
      </c>
      <c r="O85" t="s">
        <v>282</v>
      </c>
      <c r="P85" t="s">
        <v>201</v>
      </c>
      <c r="Q85">
        <v>33</v>
      </c>
      <c r="R85">
        <v>9</v>
      </c>
      <c r="S85">
        <v>3264000</v>
      </c>
      <c r="T85" s="10">
        <v>42700</v>
      </c>
      <c r="U85" s="10"/>
    </row>
    <row r="86" spans="1:21" x14ac:dyDescent="0.35">
      <c r="A86">
        <v>1085</v>
      </c>
      <c r="B86" t="s">
        <v>40</v>
      </c>
      <c r="C86" t="s">
        <v>63</v>
      </c>
      <c r="D86" t="s">
        <v>42</v>
      </c>
      <c r="E86" t="s">
        <v>88</v>
      </c>
      <c r="F86" t="s">
        <v>89</v>
      </c>
      <c r="G86" t="s">
        <v>33</v>
      </c>
      <c r="H86">
        <v>139000</v>
      </c>
      <c r="I86" t="str">
        <f>_xlfn.XLOOKUP(F86,'Grade Bands'!$A$2:$A$31,'Grade Bands'!$B$2:$B$31,"Not Found")</f>
        <v>Officer</v>
      </c>
      <c r="J86">
        <f>_xlfn.XLOOKUP(F86,'Grade Bands'!$A$2:$A$31,'Grade Bands'!$C$2:$C$31,"Not Found")</f>
        <v>110000</v>
      </c>
      <c r="K86">
        <f>_xlfn.XLOOKUP(F86,'Grade Bands'!$A$2:$A$31,'Grade Bands'!$D$2:$D$31,"Not Found")</f>
        <v>230000</v>
      </c>
      <c r="L86" t="str">
        <f t="shared" si="2"/>
        <v>Within Band</v>
      </c>
      <c r="M86">
        <v>4</v>
      </c>
      <c r="N86" s="10">
        <v>36947</v>
      </c>
      <c r="O86" t="s">
        <v>283</v>
      </c>
      <c r="P86" t="s">
        <v>206</v>
      </c>
      <c r="Q86">
        <v>25</v>
      </c>
      <c r="R86">
        <v>3</v>
      </c>
      <c r="S86">
        <v>1668000</v>
      </c>
      <c r="T86" s="10">
        <v>44688</v>
      </c>
      <c r="U86" s="10">
        <v>45985</v>
      </c>
    </row>
    <row r="87" spans="1:21" x14ac:dyDescent="0.35">
      <c r="A87">
        <v>1086</v>
      </c>
      <c r="B87" t="s">
        <v>103</v>
      </c>
      <c r="C87" t="s">
        <v>87</v>
      </c>
      <c r="D87" t="s">
        <v>36</v>
      </c>
      <c r="E87" t="s">
        <v>47</v>
      </c>
      <c r="F87" t="s">
        <v>101</v>
      </c>
      <c r="G87" t="s">
        <v>39</v>
      </c>
      <c r="H87">
        <v>130000</v>
      </c>
      <c r="I87" t="str">
        <f>_xlfn.XLOOKUP(F87,'Grade Bands'!$A$2:$A$31,'Grade Bands'!$B$2:$B$31,"Not Found")</f>
        <v>Officer</v>
      </c>
      <c r="J87">
        <f>_xlfn.XLOOKUP(F87,'Grade Bands'!$A$2:$A$31,'Grade Bands'!$C$2:$C$31,"Not Found")</f>
        <v>110000</v>
      </c>
      <c r="K87">
        <f>_xlfn.XLOOKUP(F87,'Grade Bands'!$A$2:$A$31,'Grade Bands'!$D$2:$D$31,"Not Found")</f>
        <v>230000</v>
      </c>
      <c r="L87" t="str">
        <f t="shared" si="2"/>
        <v>Within Band</v>
      </c>
      <c r="M87">
        <v>3</v>
      </c>
      <c r="N87" s="10">
        <v>32392</v>
      </c>
      <c r="O87" t="s">
        <v>284</v>
      </c>
      <c r="P87" t="s">
        <v>201</v>
      </c>
      <c r="Q87">
        <v>37</v>
      </c>
      <c r="R87">
        <v>4</v>
      </c>
      <c r="S87">
        <v>1560000</v>
      </c>
      <c r="T87" s="10">
        <v>44694</v>
      </c>
      <c r="U87" s="10"/>
    </row>
    <row r="88" spans="1:21" x14ac:dyDescent="0.35">
      <c r="A88">
        <v>1087</v>
      </c>
      <c r="B88" t="s">
        <v>148</v>
      </c>
      <c r="C88" t="s">
        <v>149</v>
      </c>
      <c r="D88" t="s">
        <v>36</v>
      </c>
      <c r="E88" t="s">
        <v>47</v>
      </c>
      <c r="F88" t="s">
        <v>101</v>
      </c>
      <c r="G88" t="s">
        <v>33</v>
      </c>
      <c r="H88">
        <v>154000</v>
      </c>
      <c r="I88" t="str">
        <f>_xlfn.XLOOKUP(F88,'Grade Bands'!$A$2:$A$31,'Grade Bands'!$B$2:$B$31,"Not Found")</f>
        <v>Officer</v>
      </c>
      <c r="J88">
        <f>_xlfn.XLOOKUP(F88,'Grade Bands'!$A$2:$A$31,'Grade Bands'!$C$2:$C$31,"Not Found")</f>
        <v>110000</v>
      </c>
      <c r="K88">
        <f>_xlfn.XLOOKUP(F88,'Grade Bands'!$A$2:$A$31,'Grade Bands'!$D$2:$D$31,"Not Found")</f>
        <v>230000</v>
      </c>
      <c r="L88" t="str">
        <f t="shared" si="2"/>
        <v>Within Band</v>
      </c>
      <c r="M88">
        <v>3</v>
      </c>
      <c r="N88" s="10">
        <v>35396</v>
      </c>
      <c r="O88" t="s">
        <v>285</v>
      </c>
      <c r="P88" t="s">
        <v>201</v>
      </c>
      <c r="Q88">
        <v>29</v>
      </c>
      <c r="R88">
        <v>1</v>
      </c>
      <c r="S88">
        <v>1848000</v>
      </c>
      <c r="T88" s="10">
        <v>45768</v>
      </c>
      <c r="U88" s="10"/>
    </row>
    <row r="89" spans="1:21" x14ac:dyDescent="0.35">
      <c r="A89">
        <v>1088</v>
      </c>
      <c r="B89" t="s">
        <v>109</v>
      </c>
      <c r="C89" t="s">
        <v>67</v>
      </c>
      <c r="D89" t="s">
        <v>42</v>
      </c>
      <c r="E89" t="s">
        <v>79</v>
      </c>
      <c r="F89" t="s">
        <v>80</v>
      </c>
      <c r="G89" t="s">
        <v>33</v>
      </c>
      <c r="H89">
        <v>185000</v>
      </c>
      <c r="I89" t="str">
        <f>_xlfn.XLOOKUP(F89,'Grade Bands'!$A$2:$A$31,'Grade Bands'!$B$2:$B$31,"Not Found")</f>
        <v>Senior</v>
      </c>
      <c r="J89">
        <f>_xlfn.XLOOKUP(F89,'Grade Bands'!$A$2:$A$31,'Grade Bands'!$C$2:$C$31,"Not Found")</f>
        <v>220000</v>
      </c>
      <c r="K89">
        <f>_xlfn.XLOOKUP(F89,'Grade Bands'!$A$2:$A$31,'Grade Bands'!$D$2:$D$31,"Not Found")</f>
        <v>360000</v>
      </c>
      <c r="L89" t="str">
        <f t="shared" si="2"/>
        <v>Outside Band</v>
      </c>
      <c r="M89">
        <v>3</v>
      </c>
      <c r="N89" s="10">
        <v>34023</v>
      </c>
      <c r="O89" t="s">
        <v>286</v>
      </c>
      <c r="P89" t="s">
        <v>201</v>
      </c>
      <c r="Q89">
        <v>33</v>
      </c>
      <c r="R89">
        <v>7</v>
      </c>
      <c r="S89">
        <v>2220000</v>
      </c>
      <c r="T89" s="10">
        <v>43510</v>
      </c>
      <c r="U89" s="10"/>
    </row>
    <row r="90" spans="1:21" x14ac:dyDescent="0.35">
      <c r="A90">
        <v>1089</v>
      </c>
      <c r="B90" t="s">
        <v>78</v>
      </c>
      <c r="C90" t="s">
        <v>136</v>
      </c>
      <c r="D90" t="s">
        <v>36</v>
      </c>
      <c r="E90" t="s">
        <v>79</v>
      </c>
      <c r="F90" t="s">
        <v>106</v>
      </c>
      <c r="G90" t="s">
        <v>39</v>
      </c>
      <c r="H90">
        <v>292000</v>
      </c>
      <c r="I90" t="str">
        <f>_xlfn.XLOOKUP(F90,'Grade Bands'!$A$2:$A$31,'Grade Bands'!$B$2:$B$31,"Not Found")</f>
        <v>Senior</v>
      </c>
      <c r="J90">
        <f>_xlfn.XLOOKUP(F90,'Grade Bands'!$A$2:$A$31,'Grade Bands'!$C$2:$C$31,"Not Found")</f>
        <v>220000</v>
      </c>
      <c r="K90">
        <f>_xlfn.XLOOKUP(F90,'Grade Bands'!$A$2:$A$31,'Grade Bands'!$D$2:$D$31,"Not Found")</f>
        <v>360000</v>
      </c>
      <c r="L90" t="str">
        <f t="shared" si="2"/>
        <v>Within Band</v>
      </c>
      <c r="M90">
        <v>3</v>
      </c>
      <c r="N90" s="10">
        <v>36652</v>
      </c>
      <c r="O90" t="s">
        <v>287</v>
      </c>
      <c r="P90" t="s">
        <v>201</v>
      </c>
      <c r="Q90">
        <v>26</v>
      </c>
      <c r="R90">
        <v>5</v>
      </c>
      <c r="S90">
        <v>3504000</v>
      </c>
      <c r="T90" s="10">
        <v>44245</v>
      </c>
      <c r="U90" s="10"/>
    </row>
    <row r="91" spans="1:21" x14ac:dyDescent="0.35">
      <c r="A91">
        <v>1090</v>
      </c>
      <c r="B91" t="s">
        <v>128</v>
      </c>
      <c r="C91" t="s">
        <v>122</v>
      </c>
      <c r="D91" t="s">
        <v>42</v>
      </c>
      <c r="E91" t="s">
        <v>88</v>
      </c>
      <c r="F91" t="s">
        <v>150</v>
      </c>
      <c r="G91" t="s">
        <v>33</v>
      </c>
      <c r="H91">
        <v>240000</v>
      </c>
      <c r="I91" t="str">
        <f>_xlfn.XLOOKUP(F91,'Grade Bands'!$A$2:$A$31,'Grade Bands'!$B$2:$B$31,"Not Found")</f>
        <v>Senior</v>
      </c>
      <c r="J91">
        <f>_xlfn.XLOOKUP(F91,'Grade Bands'!$A$2:$A$31,'Grade Bands'!$C$2:$C$31,"Not Found")</f>
        <v>220000</v>
      </c>
      <c r="K91">
        <f>_xlfn.XLOOKUP(F91,'Grade Bands'!$A$2:$A$31,'Grade Bands'!$D$2:$D$31,"Not Found")</f>
        <v>360000</v>
      </c>
      <c r="L91" t="str">
        <f t="shared" si="2"/>
        <v>Within Band</v>
      </c>
      <c r="M91">
        <v>4</v>
      </c>
      <c r="N91" s="10">
        <v>30109</v>
      </c>
      <c r="O91" t="s">
        <v>288</v>
      </c>
      <c r="P91" t="s">
        <v>201</v>
      </c>
      <c r="Q91">
        <v>44</v>
      </c>
      <c r="R91">
        <v>7</v>
      </c>
      <c r="S91">
        <v>2880000</v>
      </c>
      <c r="T91" s="10">
        <v>43406</v>
      </c>
      <c r="U91" s="10"/>
    </row>
    <row r="92" spans="1:21" x14ac:dyDescent="0.35">
      <c r="A92">
        <v>1091</v>
      </c>
      <c r="B92" t="s">
        <v>111</v>
      </c>
      <c r="C92" t="s">
        <v>46</v>
      </c>
      <c r="D92" t="s">
        <v>42</v>
      </c>
      <c r="E92" t="s">
        <v>79</v>
      </c>
      <c r="F92" t="s">
        <v>32</v>
      </c>
      <c r="G92" t="s">
        <v>33</v>
      </c>
      <c r="H92">
        <v>138000</v>
      </c>
      <c r="I92" t="str">
        <f>_xlfn.XLOOKUP(F92,'Grade Bands'!$A$2:$A$31,'Grade Bands'!$B$2:$B$31,"Not Found")</f>
        <v>Officer</v>
      </c>
      <c r="J92">
        <f>_xlfn.XLOOKUP(F92,'Grade Bands'!$A$2:$A$31,'Grade Bands'!$C$2:$C$31,"Not Found")</f>
        <v>110000</v>
      </c>
      <c r="K92">
        <f>_xlfn.XLOOKUP(F92,'Grade Bands'!$A$2:$A$31,'Grade Bands'!$D$2:$D$31,"Not Found")</f>
        <v>230000</v>
      </c>
      <c r="L92" t="str">
        <f t="shared" si="2"/>
        <v>Within Band</v>
      </c>
      <c r="M92">
        <v>3</v>
      </c>
      <c r="N92" s="10">
        <v>36641</v>
      </c>
      <c r="O92" t="s">
        <v>282</v>
      </c>
      <c r="P92" t="s">
        <v>206</v>
      </c>
      <c r="Q92">
        <v>26</v>
      </c>
      <c r="R92">
        <v>2</v>
      </c>
      <c r="S92">
        <v>1656000</v>
      </c>
      <c r="T92" s="10">
        <v>44649</v>
      </c>
      <c r="U92" s="10">
        <v>45602</v>
      </c>
    </row>
    <row r="93" spans="1:21" x14ac:dyDescent="0.35">
      <c r="A93">
        <v>1092</v>
      </c>
      <c r="B93" t="s">
        <v>102</v>
      </c>
      <c r="C93" t="s">
        <v>63</v>
      </c>
      <c r="D93" t="s">
        <v>36</v>
      </c>
      <c r="E93" t="s">
        <v>68</v>
      </c>
      <c r="F93" t="s">
        <v>130</v>
      </c>
      <c r="G93" t="s">
        <v>33</v>
      </c>
      <c r="H93">
        <v>435000</v>
      </c>
      <c r="I93" t="str">
        <f>_xlfn.XLOOKUP(F93,'Grade Bands'!$A$2:$A$31,'Grade Bands'!$B$2:$B$31,"Not Found")</f>
        <v>Lead/Manager</v>
      </c>
      <c r="J93">
        <f>_xlfn.XLOOKUP(F93,'Grade Bands'!$A$2:$A$31,'Grade Bands'!$C$2:$C$31,"Not Found")</f>
        <v>360000</v>
      </c>
      <c r="K93">
        <f>_xlfn.XLOOKUP(F93,'Grade Bands'!$A$2:$A$31,'Grade Bands'!$D$2:$D$31,"Not Found")</f>
        <v>650000</v>
      </c>
      <c r="L93" t="str">
        <f t="shared" si="2"/>
        <v>Within Band</v>
      </c>
      <c r="M93">
        <v>3</v>
      </c>
      <c r="N93" s="10">
        <v>30853</v>
      </c>
      <c r="O93" t="s">
        <v>289</v>
      </c>
      <c r="P93" t="s">
        <v>206</v>
      </c>
      <c r="Q93">
        <v>42</v>
      </c>
      <c r="R93">
        <v>2</v>
      </c>
      <c r="S93">
        <v>5220000</v>
      </c>
      <c r="T93" s="10">
        <v>44063</v>
      </c>
      <c r="U93" s="10">
        <v>45108</v>
      </c>
    </row>
    <row r="94" spans="1:21" x14ac:dyDescent="0.35">
      <c r="A94">
        <v>1093</v>
      </c>
      <c r="B94" t="s">
        <v>81</v>
      </c>
      <c r="C94" t="s">
        <v>67</v>
      </c>
      <c r="D94" t="s">
        <v>36</v>
      </c>
      <c r="E94" t="s">
        <v>88</v>
      </c>
      <c r="F94" t="s">
        <v>89</v>
      </c>
      <c r="G94" t="s">
        <v>33</v>
      </c>
      <c r="H94">
        <v>133000</v>
      </c>
      <c r="I94" t="str">
        <f>_xlfn.XLOOKUP(F94,'Grade Bands'!$A$2:$A$31,'Grade Bands'!$B$2:$B$31,"Not Found")</f>
        <v>Officer</v>
      </c>
      <c r="J94">
        <f>_xlfn.XLOOKUP(F94,'Grade Bands'!$A$2:$A$31,'Grade Bands'!$C$2:$C$31,"Not Found")</f>
        <v>110000</v>
      </c>
      <c r="K94">
        <f>_xlfn.XLOOKUP(F94,'Grade Bands'!$A$2:$A$31,'Grade Bands'!$D$2:$D$31,"Not Found")</f>
        <v>230000</v>
      </c>
      <c r="L94" t="str">
        <f t="shared" si="2"/>
        <v>Within Band</v>
      </c>
      <c r="M94">
        <v>4</v>
      </c>
      <c r="N94" s="10">
        <v>33463</v>
      </c>
      <c r="O94" t="s">
        <v>264</v>
      </c>
      <c r="P94" t="s">
        <v>201</v>
      </c>
      <c r="Q94">
        <v>34</v>
      </c>
      <c r="R94">
        <v>7</v>
      </c>
      <c r="S94">
        <v>1596000</v>
      </c>
      <c r="T94" s="10">
        <v>43603</v>
      </c>
      <c r="U94" s="10"/>
    </row>
    <row r="95" spans="1:21" x14ac:dyDescent="0.35">
      <c r="A95">
        <v>1094</v>
      </c>
      <c r="B95" t="s">
        <v>111</v>
      </c>
      <c r="C95" t="s">
        <v>118</v>
      </c>
      <c r="D95" t="s">
        <v>42</v>
      </c>
      <c r="E95" t="s">
        <v>37</v>
      </c>
      <c r="F95" t="s">
        <v>43</v>
      </c>
      <c r="G95" t="s">
        <v>62</v>
      </c>
      <c r="H95">
        <v>160000</v>
      </c>
      <c r="I95" t="str">
        <f>_xlfn.XLOOKUP(F95,'Grade Bands'!$A$2:$A$31,'Grade Bands'!$B$2:$B$31,"Not Found")</f>
        <v>Senior</v>
      </c>
      <c r="J95">
        <f>_xlfn.XLOOKUP(F95,'Grade Bands'!$A$2:$A$31,'Grade Bands'!$C$2:$C$31,"Not Found")</f>
        <v>220000</v>
      </c>
      <c r="K95">
        <f>_xlfn.XLOOKUP(F95,'Grade Bands'!$A$2:$A$31,'Grade Bands'!$D$2:$D$31,"Not Found")</f>
        <v>360000</v>
      </c>
      <c r="L95" t="str">
        <f t="shared" si="2"/>
        <v>Outside Band</v>
      </c>
      <c r="M95">
        <v>4</v>
      </c>
      <c r="N95" s="10">
        <v>27651</v>
      </c>
      <c r="O95" t="s">
        <v>290</v>
      </c>
      <c r="P95" t="s">
        <v>201</v>
      </c>
      <c r="Q95">
        <v>50</v>
      </c>
      <c r="R95">
        <v>9</v>
      </c>
      <c r="S95">
        <v>1920000</v>
      </c>
      <c r="T95" s="10">
        <v>42949</v>
      </c>
      <c r="U95" s="10"/>
    </row>
    <row r="96" spans="1:21" x14ac:dyDescent="0.35">
      <c r="A96">
        <v>1095</v>
      </c>
      <c r="B96" t="s">
        <v>146</v>
      </c>
      <c r="C96" t="s">
        <v>91</v>
      </c>
      <c r="D96" t="s">
        <v>42</v>
      </c>
      <c r="E96" t="s">
        <v>51</v>
      </c>
      <c r="F96" t="s">
        <v>52</v>
      </c>
      <c r="G96" t="s">
        <v>113</v>
      </c>
      <c r="H96">
        <v>155000</v>
      </c>
      <c r="I96" t="str">
        <f>_xlfn.XLOOKUP(F96,'Grade Bands'!$A$2:$A$31,'Grade Bands'!$B$2:$B$31,"Not Found")</f>
        <v>Officer</v>
      </c>
      <c r="J96">
        <f>_xlfn.XLOOKUP(F96,'Grade Bands'!$A$2:$A$31,'Grade Bands'!$C$2:$C$31,"Not Found")</f>
        <v>110000</v>
      </c>
      <c r="K96">
        <f>_xlfn.XLOOKUP(F96,'Grade Bands'!$A$2:$A$31,'Grade Bands'!$D$2:$D$31,"Not Found")</f>
        <v>230000</v>
      </c>
      <c r="L96" t="str">
        <f t="shared" si="2"/>
        <v>Within Band</v>
      </c>
      <c r="M96">
        <v>2</v>
      </c>
      <c r="N96" s="10">
        <v>30004</v>
      </c>
      <c r="O96" t="s">
        <v>291</v>
      </c>
      <c r="P96" t="s">
        <v>201</v>
      </c>
      <c r="Q96">
        <v>44</v>
      </c>
      <c r="R96">
        <v>4</v>
      </c>
      <c r="S96">
        <v>1860000</v>
      </c>
      <c r="T96" s="10">
        <v>44711</v>
      </c>
      <c r="U96" s="10"/>
    </row>
    <row r="97" spans="1:21" x14ac:dyDescent="0.35">
      <c r="A97">
        <v>1096</v>
      </c>
      <c r="B97" t="s">
        <v>78</v>
      </c>
      <c r="C97" t="s">
        <v>104</v>
      </c>
      <c r="D97" t="s">
        <v>36</v>
      </c>
      <c r="E97" t="s">
        <v>47</v>
      </c>
      <c r="F97" t="s">
        <v>48</v>
      </c>
      <c r="G97" t="s">
        <v>113</v>
      </c>
      <c r="H97">
        <v>179000</v>
      </c>
      <c r="I97" t="str">
        <f>_xlfn.XLOOKUP(F97,'Grade Bands'!$A$2:$A$31,'Grade Bands'!$B$2:$B$31,"Not Found")</f>
        <v>Officer</v>
      </c>
      <c r="J97">
        <f>_xlfn.XLOOKUP(F97,'Grade Bands'!$A$2:$A$31,'Grade Bands'!$C$2:$C$31,"Not Found")</f>
        <v>110000</v>
      </c>
      <c r="K97">
        <f>_xlfn.XLOOKUP(F97,'Grade Bands'!$A$2:$A$31,'Grade Bands'!$D$2:$D$31,"Not Found")</f>
        <v>230000</v>
      </c>
      <c r="L97" t="str">
        <f t="shared" si="2"/>
        <v>Within Band</v>
      </c>
      <c r="M97">
        <v>5</v>
      </c>
      <c r="N97" s="10">
        <v>29906</v>
      </c>
      <c r="O97" t="s">
        <v>292</v>
      </c>
      <c r="P97" t="s">
        <v>201</v>
      </c>
      <c r="Q97">
        <v>44</v>
      </c>
      <c r="R97">
        <v>4</v>
      </c>
      <c r="S97">
        <v>2148000</v>
      </c>
      <c r="T97" s="10">
        <v>44666</v>
      </c>
      <c r="U97" s="10"/>
    </row>
    <row r="98" spans="1:21" x14ac:dyDescent="0.35">
      <c r="A98">
        <v>1097</v>
      </c>
      <c r="B98" t="s">
        <v>144</v>
      </c>
      <c r="C98" t="s">
        <v>70</v>
      </c>
      <c r="D98" t="s">
        <v>36</v>
      </c>
      <c r="E98" t="s">
        <v>51</v>
      </c>
      <c r="F98" t="s">
        <v>52</v>
      </c>
      <c r="G98" t="s">
        <v>44</v>
      </c>
      <c r="H98">
        <v>166000</v>
      </c>
      <c r="I98" t="str">
        <f>_xlfn.XLOOKUP(F98,'Grade Bands'!$A$2:$A$31,'Grade Bands'!$B$2:$B$31,"Not Found")</f>
        <v>Officer</v>
      </c>
      <c r="J98">
        <f>_xlfn.XLOOKUP(F98,'Grade Bands'!$A$2:$A$31,'Grade Bands'!$C$2:$C$31,"Not Found")</f>
        <v>110000</v>
      </c>
      <c r="K98">
        <f>_xlfn.XLOOKUP(F98,'Grade Bands'!$A$2:$A$31,'Grade Bands'!$D$2:$D$31,"Not Found")</f>
        <v>230000</v>
      </c>
      <c r="L98" t="str">
        <f t="shared" ref="L98:L129" si="3">IF(AND(H98&gt;=J98,H98&lt;=K98),"Within Band","Outside Band")</f>
        <v>Within Band</v>
      </c>
      <c r="M98">
        <v>3</v>
      </c>
      <c r="N98" s="10">
        <v>31520</v>
      </c>
      <c r="O98" t="s">
        <v>293</v>
      </c>
      <c r="P98" t="s">
        <v>201</v>
      </c>
      <c r="Q98">
        <v>40</v>
      </c>
      <c r="R98">
        <v>3</v>
      </c>
      <c r="S98">
        <v>1992000</v>
      </c>
      <c r="T98" s="10">
        <v>45102</v>
      </c>
      <c r="U98" s="10"/>
    </row>
    <row r="99" spans="1:21" x14ac:dyDescent="0.35">
      <c r="A99">
        <v>1098</v>
      </c>
      <c r="B99" t="s">
        <v>152</v>
      </c>
      <c r="C99" t="s">
        <v>67</v>
      </c>
      <c r="D99" t="s">
        <v>36</v>
      </c>
      <c r="E99" t="s">
        <v>56</v>
      </c>
      <c r="F99" t="s">
        <v>57</v>
      </c>
      <c r="G99" t="s">
        <v>33</v>
      </c>
      <c r="H99">
        <v>207000</v>
      </c>
      <c r="I99" t="str">
        <f>_xlfn.XLOOKUP(F99,'Grade Bands'!$A$2:$A$31,'Grade Bands'!$B$2:$B$31,"Not Found")</f>
        <v>Senior</v>
      </c>
      <c r="J99">
        <f>_xlfn.XLOOKUP(F99,'Grade Bands'!$A$2:$A$31,'Grade Bands'!$C$2:$C$31,"Not Found")</f>
        <v>220000</v>
      </c>
      <c r="K99">
        <f>_xlfn.XLOOKUP(F99,'Grade Bands'!$A$2:$A$31,'Grade Bands'!$D$2:$D$31,"Not Found")</f>
        <v>360000</v>
      </c>
      <c r="L99" t="str">
        <f t="shared" si="3"/>
        <v>Outside Band</v>
      </c>
      <c r="M99">
        <v>3</v>
      </c>
      <c r="N99" s="10">
        <v>33620</v>
      </c>
      <c r="O99" t="s">
        <v>294</v>
      </c>
      <c r="P99" t="s">
        <v>201</v>
      </c>
      <c r="Q99">
        <v>34</v>
      </c>
      <c r="R99">
        <v>4</v>
      </c>
      <c r="S99">
        <v>2484000</v>
      </c>
      <c r="T99" s="10">
        <v>44596</v>
      </c>
      <c r="U99" s="10"/>
    </row>
    <row r="100" spans="1:21" x14ac:dyDescent="0.35">
      <c r="A100">
        <v>1099</v>
      </c>
      <c r="B100" t="s">
        <v>95</v>
      </c>
      <c r="C100" t="s">
        <v>67</v>
      </c>
      <c r="D100" t="s">
        <v>42</v>
      </c>
      <c r="E100" t="s">
        <v>88</v>
      </c>
      <c r="F100" t="s">
        <v>89</v>
      </c>
      <c r="G100" t="s">
        <v>44</v>
      </c>
      <c r="H100">
        <v>145000</v>
      </c>
      <c r="I100" t="str">
        <f>_xlfn.XLOOKUP(F100,'Grade Bands'!$A$2:$A$31,'Grade Bands'!$B$2:$B$31,"Not Found")</f>
        <v>Officer</v>
      </c>
      <c r="J100">
        <f>_xlfn.XLOOKUP(F100,'Grade Bands'!$A$2:$A$31,'Grade Bands'!$C$2:$C$31,"Not Found")</f>
        <v>110000</v>
      </c>
      <c r="K100">
        <f>_xlfn.XLOOKUP(F100,'Grade Bands'!$A$2:$A$31,'Grade Bands'!$D$2:$D$31,"Not Found")</f>
        <v>230000</v>
      </c>
      <c r="L100" t="str">
        <f t="shared" si="3"/>
        <v>Within Band</v>
      </c>
      <c r="M100">
        <v>4</v>
      </c>
      <c r="N100" s="10">
        <v>32690</v>
      </c>
      <c r="O100" t="s">
        <v>295</v>
      </c>
      <c r="P100" t="s">
        <v>201</v>
      </c>
      <c r="Q100">
        <v>37</v>
      </c>
      <c r="R100">
        <v>9</v>
      </c>
      <c r="S100">
        <v>1740000</v>
      </c>
      <c r="T100" s="10">
        <v>42862</v>
      </c>
      <c r="U100" s="10"/>
    </row>
    <row r="101" spans="1:21" x14ac:dyDescent="0.35">
      <c r="A101">
        <v>1100</v>
      </c>
      <c r="B101" t="s">
        <v>103</v>
      </c>
      <c r="C101" t="s">
        <v>139</v>
      </c>
      <c r="D101" t="s">
        <v>36</v>
      </c>
      <c r="E101" t="s">
        <v>56</v>
      </c>
      <c r="F101" t="s">
        <v>120</v>
      </c>
      <c r="G101" t="s">
        <v>33</v>
      </c>
      <c r="H101">
        <v>176000</v>
      </c>
      <c r="I101" t="str">
        <f>_xlfn.XLOOKUP(F101,'Grade Bands'!$A$2:$A$31,'Grade Bands'!$B$2:$B$31,"Not Found")</f>
        <v>Officer</v>
      </c>
      <c r="J101">
        <f>_xlfn.XLOOKUP(F101,'Grade Bands'!$A$2:$A$31,'Grade Bands'!$C$2:$C$31,"Not Found")</f>
        <v>110000</v>
      </c>
      <c r="K101">
        <f>_xlfn.XLOOKUP(F101,'Grade Bands'!$A$2:$A$31,'Grade Bands'!$D$2:$D$31,"Not Found")</f>
        <v>230000</v>
      </c>
      <c r="L101" t="str">
        <f t="shared" si="3"/>
        <v>Within Band</v>
      </c>
      <c r="M101">
        <v>4</v>
      </c>
      <c r="N101" s="10">
        <v>32746</v>
      </c>
      <c r="O101" t="s">
        <v>296</v>
      </c>
      <c r="P101" t="s">
        <v>206</v>
      </c>
      <c r="Q101">
        <v>36</v>
      </c>
      <c r="R101">
        <v>2</v>
      </c>
      <c r="S101">
        <v>2112000</v>
      </c>
      <c r="T101" s="10">
        <v>44684</v>
      </c>
      <c r="U101" s="10">
        <v>45745</v>
      </c>
    </row>
    <row r="102" spans="1:21" x14ac:dyDescent="0.35">
      <c r="A102">
        <v>1101</v>
      </c>
      <c r="B102" t="s">
        <v>116</v>
      </c>
      <c r="C102" t="s">
        <v>60</v>
      </c>
      <c r="D102" t="s">
        <v>36</v>
      </c>
      <c r="E102" t="s">
        <v>51</v>
      </c>
      <c r="F102" t="s">
        <v>153</v>
      </c>
      <c r="G102" t="s">
        <v>62</v>
      </c>
      <c r="H102">
        <v>518000</v>
      </c>
      <c r="I102" t="str">
        <f>_xlfn.XLOOKUP(F102,'Grade Bands'!$A$2:$A$31,'Grade Bands'!$B$2:$B$31,"Not Found")</f>
        <v>Lead/Manager</v>
      </c>
      <c r="J102">
        <f>_xlfn.XLOOKUP(F102,'Grade Bands'!$A$2:$A$31,'Grade Bands'!$C$2:$C$31,"Not Found")</f>
        <v>360000</v>
      </c>
      <c r="K102">
        <f>_xlfn.XLOOKUP(F102,'Grade Bands'!$A$2:$A$31,'Grade Bands'!$D$2:$D$31,"Not Found")</f>
        <v>650000</v>
      </c>
      <c r="L102" t="str">
        <f t="shared" si="3"/>
        <v>Within Band</v>
      </c>
      <c r="M102">
        <v>2</v>
      </c>
      <c r="N102" s="10">
        <v>31119</v>
      </c>
      <c r="O102" t="s">
        <v>297</v>
      </c>
      <c r="P102" t="s">
        <v>201</v>
      </c>
      <c r="Q102">
        <v>41</v>
      </c>
      <c r="R102">
        <v>1</v>
      </c>
      <c r="S102">
        <v>6216000</v>
      </c>
      <c r="T102" s="10">
        <v>45606</v>
      </c>
      <c r="U102" s="10"/>
    </row>
    <row r="103" spans="1:21" x14ac:dyDescent="0.35">
      <c r="A103">
        <v>1102</v>
      </c>
      <c r="B103" t="s">
        <v>154</v>
      </c>
      <c r="C103" t="s">
        <v>50</v>
      </c>
      <c r="D103" t="s">
        <v>42</v>
      </c>
      <c r="E103" t="s">
        <v>79</v>
      </c>
      <c r="F103" t="s">
        <v>80</v>
      </c>
      <c r="G103" t="s">
        <v>44</v>
      </c>
      <c r="H103">
        <v>184000</v>
      </c>
      <c r="I103" t="str">
        <f>_xlfn.XLOOKUP(F103,'Grade Bands'!$A$2:$A$31,'Grade Bands'!$B$2:$B$31,"Not Found")</f>
        <v>Senior</v>
      </c>
      <c r="J103">
        <f>_xlfn.XLOOKUP(F103,'Grade Bands'!$A$2:$A$31,'Grade Bands'!$C$2:$C$31,"Not Found")</f>
        <v>220000</v>
      </c>
      <c r="K103">
        <f>_xlfn.XLOOKUP(F103,'Grade Bands'!$A$2:$A$31,'Grade Bands'!$D$2:$D$31,"Not Found")</f>
        <v>360000</v>
      </c>
      <c r="L103" t="str">
        <f t="shared" si="3"/>
        <v>Outside Band</v>
      </c>
      <c r="M103">
        <v>3</v>
      </c>
      <c r="N103" s="10">
        <v>35052</v>
      </c>
      <c r="O103" t="s">
        <v>298</v>
      </c>
      <c r="P103" t="s">
        <v>201</v>
      </c>
      <c r="Q103">
        <v>30</v>
      </c>
      <c r="R103">
        <v>8</v>
      </c>
      <c r="S103">
        <v>2208000</v>
      </c>
      <c r="T103" s="10">
        <v>43019</v>
      </c>
      <c r="U103" s="10"/>
    </row>
    <row r="104" spans="1:21" x14ac:dyDescent="0.35">
      <c r="A104">
        <v>1103</v>
      </c>
      <c r="B104" t="s">
        <v>90</v>
      </c>
      <c r="C104" t="s">
        <v>155</v>
      </c>
      <c r="D104" t="s">
        <v>42</v>
      </c>
      <c r="E104" t="s">
        <v>47</v>
      </c>
      <c r="F104" t="s">
        <v>126</v>
      </c>
      <c r="G104" t="s">
        <v>33</v>
      </c>
      <c r="H104">
        <v>286000</v>
      </c>
      <c r="I104" t="str">
        <f>_xlfn.XLOOKUP(F104,'Grade Bands'!$A$2:$A$31,'Grade Bands'!$B$2:$B$31,"Not Found")</f>
        <v>Lead/Manager</v>
      </c>
      <c r="J104">
        <f>_xlfn.XLOOKUP(F104,'Grade Bands'!$A$2:$A$31,'Grade Bands'!$C$2:$C$31,"Not Found")</f>
        <v>360000</v>
      </c>
      <c r="K104">
        <f>_xlfn.XLOOKUP(F104,'Grade Bands'!$A$2:$A$31,'Grade Bands'!$D$2:$D$31,"Not Found")</f>
        <v>650000</v>
      </c>
      <c r="L104" t="str">
        <f t="shared" si="3"/>
        <v>Outside Band</v>
      </c>
      <c r="M104">
        <v>5</v>
      </c>
      <c r="N104" s="10">
        <v>30509</v>
      </c>
      <c r="O104" t="s">
        <v>299</v>
      </c>
      <c r="P104" t="s">
        <v>206</v>
      </c>
      <c r="Q104">
        <v>43</v>
      </c>
      <c r="R104">
        <v>7</v>
      </c>
      <c r="S104">
        <v>3432000</v>
      </c>
      <c r="T104" s="10">
        <v>42873</v>
      </c>
      <c r="U104" s="10">
        <v>45787</v>
      </c>
    </row>
    <row r="105" spans="1:21" x14ac:dyDescent="0.35">
      <c r="A105">
        <v>1104</v>
      </c>
      <c r="B105" t="s">
        <v>109</v>
      </c>
      <c r="C105" t="s">
        <v>50</v>
      </c>
      <c r="D105" t="s">
        <v>42</v>
      </c>
      <c r="E105" t="s">
        <v>37</v>
      </c>
      <c r="F105" t="s">
        <v>38</v>
      </c>
      <c r="G105" t="s">
        <v>33</v>
      </c>
      <c r="H105">
        <v>120000</v>
      </c>
      <c r="I105" t="str">
        <f>_xlfn.XLOOKUP(F105,'Grade Bands'!$A$2:$A$31,'Grade Bands'!$B$2:$B$31,"Not Found")</f>
        <v>Officer</v>
      </c>
      <c r="J105">
        <f>_xlfn.XLOOKUP(F105,'Grade Bands'!$A$2:$A$31,'Grade Bands'!$C$2:$C$31,"Not Found")</f>
        <v>110000</v>
      </c>
      <c r="K105">
        <f>_xlfn.XLOOKUP(F105,'Grade Bands'!$A$2:$A$31,'Grade Bands'!$D$2:$D$31,"Not Found")</f>
        <v>230000</v>
      </c>
      <c r="L105" t="str">
        <f t="shared" si="3"/>
        <v>Within Band</v>
      </c>
      <c r="M105">
        <v>4</v>
      </c>
      <c r="N105" s="10">
        <v>37167</v>
      </c>
      <c r="O105" t="s">
        <v>300</v>
      </c>
      <c r="P105" t="s">
        <v>201</v>
      </c>
      <c r="Q105">
        <v>24</v>
      </c>
      <c r="R105">
        <v>3</v>
      </c>
      <c r="S105">
        <v>1440000</v>
      </c>
      <c r="T105" s="10">
        <v>45001</v>
      </c>
      <c r="U105" s="10"/>
    </row>
    <row r="106" spans="1:21" x14ac:dyDescent="0.35">
      <c r="A106">
        <v>1105</v>
      </c>
      <c r="B106" t="s">
        <v>137</v>
      </c>
      <c r="C106" t="s">
        <v>156</v>
      </c>
      <c r="D106" t="s">
        <v>42</v>
      </c>
      <c r="E106" t="s">
        <v>88</v>
      </c>
      <c r="F106" t="s">
        <v>89</v>
      </c>
      <c r="G106" t="s">
        <v>62</v>
      </c>
      <c r="H106">
        <v>201000</v>
      </c>
      <c r="I106" t="str">
        <f>_xlfn.XLOOKUP(F106,'Grade Bands'!$A$2:$A$31,'Grade Bands'!$B$2:$B$31,"Not Found")</f>
        <v>Officer</v>
      </c>
      <c r="J106">
        <f>_xlfn.XLOOKUP(F106,'Grade Bands'!$A$2:$A$31,'Grade Bands'!$C$2:$C$31,"Not Found")</f>
        <v>110000</v>
      </c>
      <c r="K106">
        <f>_xlfn.XLOOKUP(F106,'Grade Bands'!$A$2:$A$31,'Grade Bands'!$D$2:$D$31,"Not Found")</f>
        <v>230000</v>
      </c>
      <c r="L106" t="str">
        <f t="shared" si="3"/>
        <v>Within Band</v>
      </c>
      <c r="M106">
        <v>5</v>
      </c>
      <c r="N106" s="10">
        <v>37086</v>
      </c>
      <c r="O106" t="s">
        <v>301</v>
      </c>
      <c r="P106" t="s">
        <v>201</v>
      </c>
      <c r="Q106">
        <v>25</v>
      </c>
      <c r="R106">
        <v>10</v>
      </c>
      <c r="S106">
        <v>2412000</v>
      </c>
      <c r="T106" s="10">
        <v>42553</v>
      </c>
      <c r="U106" s="10"/>
    </row>
    <row r="107" spans="1:21" x14ac:dyDescent="0.35">
      <c r="A107">
        <v>1106</v>
      </c>
      <c r="B107" t="s">
        <v>158</v>
      </c>
      <c r="C107" t="s">
        <v>46</v>
      </c>
      <c r="D107" t="s">
        <v>42</v>
      </c>
      <c r="E107" t="s">
        <v>88</v>
      </c>
      <c r="F107" t="s">
        <v>150</v>
      </c>
      <c r="G107" t="s">
        <v>44</v>
      </c>
      <c r="H107">
        <v>308000</v>
      </c>
      <c r="I107" t="str">
        <f>_xlfn.XLOOKUP(F107,'Grade Bands'!$A$2:$A$31,'Grade Bands'!$B$2:$B$31,"Not Found")</f>
        <v>Senior</v>
      </c>
      <c r="J107">
        <f>_xlfn.XLOOKUP(F107,'Grade Bands'!$A$2:$A$31,'Grade Bands'!$C$2:$C$31,"Not Found")</f>
        <v>220000</v>
      </c>
      <c r="K107">
        <f>_xlfn.XLOOKUP(F107,'Grade Bands'!$A$2:$A$31,'Grade Bands'!$D$2:$D$31,"Not Found")</f>
        <v>360000</v>
      </c>
      <c r="L107" t="str">
        <f t="shared" si="3"/>
        <v>Within Band</v>
      </c>
      <c r="M107">
        <v>3</v>
      </c>
      <c r="N107" s="10">
        <v>32256</v>
      </c>
      <c r="O107" t="s">
        <v>302</v>
      </c>
      <c r="P107" t="s">
        <v>201</v>
      </c>
      <c r="Q107">
        <v>38</v>
      </c>
      <c r="R107">
        <v>4</v>
      </c>
      <c r="S107">
        <v>3696000</v>
      </c>
      <c r="T107" s="10">
        <v>44496</v>
      </c>
      <c r="U107" s="10"/>
    </row>
    <row r="108" spans="1:21" x14ac:dyDescent="0.35">
      <c r="A108">
        <v>1107</v>
      </c>
      <c r="B108" t="s">
        <v>76</v>
      </c>
      <c r="C108" t="s">
        <v>63</v>
      </c>
      <c r="D108" t="s">
        <v>36</v>
      </c>
      <c r="E108" t="s">
        <v>79</v>
      </c>
      <c r="F108" t="s">
        <v>106</v>
      </c>
      <c r="G108" t="s">
        <v>33</v>
      </c>
      <c r="H108">
        <v>254000</v>
      </c>
      <c r="I108" t="str">
        <f>_xlfn.XLOOKUP(F108,'Grade Bands'!$A$2:$A$31,'Grade Bands'!$B$2:$B$31,"Not Found")</f>
        <v>Senior</v>
      </c>
      <c r="J108">
        <f>_xlfn.XLOOKUP(F108,'Grade Bands'!$A$2:$A$31,'Grade Bands'!$C$2:$C$31,"Not Found")</f>
        <v>220000</v>
      </c>
      <c r="K108">
        <f>_xlfn.XLOOKUP(F108,'Grade Bands'!$A$2:$A$31,'Grade Bands'!$D$2:$D$31,"Not Found")</f>
        <v>360000</v>
      </c>
      <c r="L108" t="str">
        <f t="shared" si="3"/>
        <v>Within Band</v>
      </c>
      <c r="M108">
        <v>3</v>
      </c>
      <c r="N108" s="10">
        <v>34509</v>
      </c>
      <c r="O108" t="s">
        <v>303</v>
      </c>
      <c r="P108" t="s">
        <v>201</v>
      </c>
      <c r="Q108">
        <v>32</v>
      </c>
      <c r="R108">
        <v>7</v>
      </c>
      <c r="S108">
        <v>3048000</v>
      </c>
      <c r="T108" s="10">
        <v>43651</v>
      </c>
      <c r="U108" s="10"/>
    </row>
    <row r="109" spans="1:21" x14ac:dyDescent="0.35">
      <c r="A109">
        <v>1108</v>
      </c>
      <c r="B109" t="s">
        <v>109</v>
      </c>
      <c r="C109" t="s">
        <v>50</v>
      </c>
      <c r="D109" t="s">
        <v>42</v>
      </c>
      <c r="E109" t="s">
        <v>88</v>
      </c>
      <c r="F109" t="s">
        <v>89</v>
      </c>
      <c r="G109" t="s">
        <v>33</v>
      </c>
      <c r="H109">
        <v>144000</v>
      </c>
      <c r="I109" t="str">
        <f>_xlfn.XLOOKUP(F109,'Grade Bands'!$A$2:$A$31,'Grade Bands'!$B$2:$B$31,"Not Found")</f>
        <v>Officer</v>
      </c>
      <c r="J109">
        <f>_xlfn.XLOOKUP(F109,'Grade Bands'!$A$2:$A$31,'Grade Bands'!$C$2:$C$31,"Not Found")</f>
        <v>110000</v>
      </c>
      <c r="K109">
        <f>_xlfn.XLOOKUP(F109,'Grade Bands'!$A$2:$A$31,'Grade Bands'!$D$2:$D$31,"Not Found")</f>
        <v>230000</v>
      </c>
      <c r="L109" t="str">
        <f t="shared" si="3"/>
        <v>Within Band</v>
      </c>
      <c r="M109">
        <v>3</v>
      </c>
      <c r="N109" s="10">
        <v>31425</v>
      </c>
      <c r="O109" t="s">
        <v>300</v>
      </c>
      <c r="P109" t="s">
        <v>201</v>
      </c>
      <c r="Q109">
        <v>40</v>
      </c>
      <c r="R109">
        <v>2</v>
      </c>
      <c r="S109">
        <v>1728000</v>
      </c>
      <c r="T109" s="10">
        <v>45156</v>
      </c>
      <c r="U109" s="10"/>
    </row>
    <row r="110" spans="1:21" x14ac:dyDescent="0.35">
      <c r="A110">
        <v>1109</v>
      </c>
      <c r="B110" t="s">
        <v>86</v>
      </c>
      <c r="C110" t="s">
        <v>41</v>
      </c>
      <c r="D110" t="s">
        <v>42</v>
      </c>
      <c r="E110" t="s">
        <v>65</v>
      </c>
      <c r="F110" t="s">
        <v>159</v>
      </c>
      <c r="G110" t="s">
        <v>33</v>
      </c>
      <c r="H110">
        <v>260000</v>
      </c>
      <c r="I110" t="str">
        <f>_xlfn.XLOOKUP(F110,'Grade Bands'!$A$2:$A$31,'Grade Bands'!$B$2:$B$31,"Not Found")</f>
        <v>Senior</v>
      </c>
      <c r="J110">
        <f>_xlfn.XLOOKUP(F110,'Grade Bands'!$A$2:$A$31,'Grade Bands'!$C$2:$C$31,"Not Found")</f>
        <v>220000</v>
      </c>
      <c r="K110">
        <f>_xlfn.XLOOKUP(F110,'Grade Bands'!$A$2:$A$31,'Grade Bands'!$D$2:$D$31,"Not Found")</f>
        <v>360000</v>
      </c>
      <c r="L110" t="str">
        <f t="shared" si="3"/>
        <v>Within Band</v>
      </c>
      <c r="M110">
        <v>3</v>
      </c>
      <c r="N110" s="10">
        <v>35008</v>
      </c>
      <c r="O110" t="s">
        <v>304</v>
      </c>
      <c r="P110" t="s">
        <v>201</v>
      </c>
      <c r="Q110">
        <v>30</v>
      </c>
      <c r="R110">
        <v>1</v>
      </c>
      <c r="S110">
        <v>3120000</v>
      </c>
      <c r="T110" s="10">
        <v>45524</v>
      </c>
      <c r="U110" s="10"/>
    </row>
    <row r="111" spans="1:21" x14ac:dyDescent="0.35">
      <c r="A111">
        <v>1110</v>
      </c>
      <c r="B111" t="s">
        <v>115</v>
      </c>
      <c r="C111" t="s">
        <v>77</v>
      </c>
      <c r="D111" t="s">
        <v>42</v>
      </c>
      <c r="E111" t="s">
        <v>88</v>
      </c>
      <c r="F111" t="s">
        <v>89</v>
      </c>
      <c r="G111" t="s">
        <v>33</v>
      </c>
      <c r="H111">
        <v>223000</v>
      </c>
      <c r="I111" t="str">
        <f>_xlfn.XLOOKUP(F111,'Grade Bands'!$A$2:$A$31,'Grade Bands'!$B$2:$B$31,"Not Found")</f>
        <v>Officer</v>
      </c>
      <c r="J111">
        <f>_xlfn.XLOOKUP(F111,'Grade Bands'!$A$2:$A$31,'Grade Bands'!$C$2:$C$31,"Not Found")</f>
        <v>110000</v>
      </c>
      <c r="K111">
        <f>_xlfn.XLOOKUP(F111,'Grade Bands'!$A$2:$A$31,'Grade Bands'!$D$2:$D$31,"Not Found")</f>
        <v>230000</v>
      </c>
      <c r="L111" t="str">
        <f t="shared" si="3"/>
        <v>Within Band</v>
      </c>
      <c r="M111">
        <v>4</v>
      </c>
      <c r="N111" s="10">
        <v>34074</v>
      </c>
      <c r="O111" t="s">
        <v>305</v>
      </c>
      <c r="P111" t="s">
        <v>201</v>
      </c>
      <c r="Q111">
        <v>33</v>
      </c>
      <c r="R111">
        <v>1</v>
      </c>
      <c r="S111">
        <v>2676000</v>
      </c>
      <c r="T111" s="10">
        <v>45626</v>
      </c>
      <c r="U111" s="10"/>
    </row>
    <row r="112" spans="1:21" x14ac:dyDescent="0.35">
      <c r="A112">
        <v>1111</v>
      </c>
      <c r="B112" t="s">
        <v>45</v>
      </c>
      <c r="C112" t="s">
        <v>149</v>
      </c>
      <c r="D112" t="s">
        <v>42</v>
      </c>
      <c r="E112" t="s">
        <v>37</v>
      </c>
      <c r="F112" t="s">
        <v>38</v>
      </c>
      <c r="G112" t="s">
        <v>33</v>
      </c>
      <c r="H112">
        <v>132000</v>
      </c>
      <c r="I112" t="str">
        <f>_xlfn.XLOOKUP(F112,'Grade Bands'!$A$2:$A$31,'Grade Bands'!$B$2:$B$31,"Not Found")</f>
        <v>Officer</v>
      </c>
      <c r="J112">
        <f>_xlfn.XLOOKUP(F112,'Grade Bands'!$A$2:$A$31,'Grade Bands'!$C$2:$C$31,"Not Found")</f>
        <v>110000</v>
      </c>
      <c r="K112">
        <f>_xlfn.XLOOKUP(F112,'Grade Bands'!$A$2:$A$31,'Grade Bands'!$D$2:$D$31,"Not Found")</f>
        <v>230000</v>
      </c>
      <c r="L112" t="str">
        <f t="shared" si="3"/>
        <v>Within Band</v>
      </c>
      <c r="M112">
        <v>3</v>
      </c>
      <c r="N112" s="10">
        <v>27679</v>
      </c>
      <c r="O112" t="s">
        <v>306</v>
      </c>
      <c r="P112" t="s">
        <v>201</v>
      </c>
      <c r="Q112">
        <v>50</v>
      </c>
      <c r="R112">
        <v>8</v>
      </c>
      <c r="S112">
        <v>1584000</v>
      </c>
      <c r="T112" s="10">
        <v>43018</v>
      </c>
      <c r="U112" s="10"/>
    </row>
    <row r="113" spans="1:21" x14ac:dyDescent="0.35">
      <c r="A113">
        <v>1112</v>
      </c>
      <c r="B113" t="s">
        <v>116</v>
      </c>
      <c r="C113" t="s">
        <v>139</v>
      </c>
      <c r="D113" t="s">
        <v>36</v>
      </c>
      <c r="E113" t="s">
        <v>51</v>
      </c>
      <c r="F113" t="s">
        <v>61</v>
      </c>
      <c r="G113" t="s">
        <v>33</v>
      </c>
      <c r="H113">
        <v>299000</v>
      </c>
      <c r="I113" t="str">
        <f>_xlfn.XLOOKUP(F113,'Grade Bands'!$A$2:$A$31,'Grade Bands'!$B$2:$B$31,"Not Found")</f>
        <v>Lead/Manager</v>
      </c>
      <c r="J113">
        <f>_xlfn.XLOOKUP(F113,'Grade Bands'!$A$2:$A$31,'Grade Bands'!$C$2:$C$31,"Not Found")</f>
        <v>360000</v>
      </c>
      <c r="K113">
        <f>_xlfn.XLOOKUP(F113,'Grade Bands'!$A$2:$A$31,'Grade Bands'!$D$2:$D$31,"Not Found")</f>
        <v>650000</v>
      </c>
      <c r="L113" t="str">
        <f t="shared" si="3"/>
        <v>Outside Band</v>
      </c>
      <c r="M113">
        <v>4</v>
      </c>
      <c r="N113" s="10">
        <v>31275</v>
      </c>
      <c r="O113" t="s">
        <v>307</v>
      </c>
      <c r="P113" t="s">
        <v>201</v>
      </c>
      <c r="Q113">
        <v>40</v>
      </c>
      <c r="R113">
        <v>10</v>
      </c>
      <c r="S113">
        <v>3588000</v>
      </c>
      <c r="T113" s="10">
        <v>42566</v>
      </c>
      <c r="U113" s="10"/>
    </row>
    <row r="114" spans="1:21" x14ac:dyDescent="0.35">
      <c r="A114">
        <v>1113</v>
      </c>
      <c r="B114" t="s">
        <v>154</v>
      </c>
      <c r="C114" t="s">
        <v>108</v>
      </c>
      <c r="D114" t="s">
        <v>42</v>
      </c>
      <c r="E114" t="s">
        <v>88</v>
      </c>
      <c r="F114" t="s">
        <v>89</v>
      </c>
      <c r="G114" t="s">
        <v>44</v>
      </c>
      <c r="H114">
        <v>198000</v>
      </c>
      <c r="I114" t="str">
        <f>_xlfn.XLOOKUP(F114,'Grade Bands'!$A$2:$A$31,'Grade Bands'!$B$2:$B$31,"Not Found")</f>
        <v>Officer</v>
      </c>
      <c r="J114">
        <f>_xlfn.XLOOKUP(F114,'Grade Bands'!$A$2:$A$31,'Grade Bands'!$C$2:$C$31,"Not Found")</f>
        <v>110000</v>
      </c>
      <c r="K114">
        <f>_xlfn.XLOOKUP(F114,'Grade Bands'!$A$2:$A$31,'Grade Bands'!$D$2:$D$31,"Not Found")</f>
        <v>230000</v>
      </c>
      <c r="L114" t="str">
        <f t="shared" si="3"/>
        <v>Within Band</v>
      </c>
      <c r="M114">
        <v>4</v>
      </c>
      <c r="N114" s="10">
        <v>30519</v>
      </c>
      <c r="O114" t="s">
        <v>308</v>
      </c>
      <c r="P114" t="s">
        <v>201</v>
      </c>
      <c r="Q114">
        <v>43</v>
      </c>
      <c r="R114">
        <v>8</v>
      </c>
      <c r="S114">
        <v>2376000</v>
      </c>
      <c r="T114" s="10">
        <v>43126</v>
      </c>
      <c r="U114" s="10"/>
    </row>
    <row r="115" spans="1:21" x14ac:dyDescent="0.35">
      <c r="A115">
        <v>1114</v>
      </c>
      <c r="B115" t="s">
        <v>97</v>
      </c>
      <c r="C115" t="s">
        <v>70</v>
      </c>
      <c r="D115" t="s">
        <v>36</v>
      </c>
      <c r="E115" t="s">
        <v>79</v>
      </c>
      <c r="F115" t="s">
        <v>32</v>
      </c>
      <c r="G115" t="s">
        <v>62</v>
      </c>
      <c r="H115">
        <v>149000</v>
      </c>
      <c r="I115" t="str">
        <f>_xlfn.XLOOKUP(F115,'Grade Bands'!$A$2:$A$31,'Grade Bands'!$B$2:$B$31,"Not Found")</f>
        <v>Officer</v>
      </c>
      <c r="J115">
        <f>_xlfn.XLOOKUP(F115,'Grade Bands'!$A$2:$A$31,'Grade Bands'!$C$2:$C$31,"Not Found")</f>
        <v>110000</v>
      </c>
      <c r="K115">
        <f>_xlfn.XLOOKUP(F115,'Grade Bands'!$A$2:$A$31,'Grade Bands'!$D$2:$D$31,"Not Found")</f>
        <v>230000</v>
      </c>
      <c r="L115" t="str">
        <f t="shared" si="3"/>
        <v>Within Band</v>
      </c>
      <c r="M115">
        <v>3</v>
      </c>
      <c r="N115" s="10">
        <v>30824</v>
      </c>
      <c r="O115" t="s">
        <v>309</v>
      </c>
      <c r="P115" t="s">
        <v>201</v>
      </c>
      <c r="Q115">
        <v>42</v>
      </c>
      <c r="R115">
        <v>7</v>
      </c>
      <c r="S115">
        <v>1788000</v>
      </c>
      <c r="T115" s="10">
        <v>43569</v>
      </c>
      <c r="U115" s="10"/>
    </row>
    <row r="116" spans="1:21" x14ac:dyDescent="0.35">
      <c r="A116">
        <v>1115</v>
      </c>
      <c r="B116" t="s">
        <v>115</v>
      </c>
      <c r="C116" t="s">
        <v>122</v>
      </c>
      <c r="D116" t="s">
        <v>42</v>
      </c>
      <c r="E116" t="s">
        <v>88</v>
      </c>
      <c r="F116" t="s">
        <v>89</v>
      </c>
      <c r="G116" t="s">
        <v>33</v>
      </c>
      <c r="H116">
        <v>222000</v>
      </c>
      <c r="I116" t="str">
        <f>_xlfn.XLOOKUP(F116,'Grade Bands'!$A$2:$A$31,'Grade Bands'!$B$2:$B$31,"Not Found")</f>
        <v>Officer</v>
      </c>
      <c r="J116">
        <f>_xlfn.XLOOKUP(F116,'Grade Bands'!$A$2:$A$31,'Grade Bands'!$C$2:$C$31,"Not Found")</f>
        <v>110000</v>
      </c>
      <c r="K116">
        <f>_xlfn.XLOOKUP(F116,'Grade Bands'!$A$2:$A$31,'Grade Bands'!$D$2:$D$31,"Not Found")</f>
        <v>230000</v>
      </c>
      <c r="L116" t="str">
        <f t="shared" si="3"/>
        <v>Within Band</v>
      </c>
      <c r="M116">
        <v>3</v>
      </c>
      <c r="N116" s="10">
        <v>30128</v>
      </c>
      <c r="O116" t="s">
        <v>310</v>
      </c>
      <c r="P116" t="s">
        <v>201</v>
      </c>
      <c r="Q116">
        <v>44</v>
      </c>
      <c r="R116">
        <v>5</v>
      </c>
      <c r="S116">
        <v>2664000</v>
      </c>
      <c r="T116" s="10">
        <v>44122</v>
      </c>
      <c r="U116" s="10"/>
    </row>
    <row r="117" spans="1:21" x14ac:dyDescent="0.35">
      <c r="A117">
        <v>1116</v>
      </c>
      <c r="B117" t="s">
        <v>109</v>
      </c>
      <c r="C117" t="s">
        <v>160</v>
      </c>
      <c r="D117" t="s">
        <v>42</v>
      </c>
      <c r="E117" t="s">
        <v>56</v>
      </c>
      <c r="F117" t="s">
        <v>120</v>
      </c>
      <c r="G117" t="s">
        <v>33</v>
      </c>
      <c r="H117">
        <v>117000</v>
      </c>
      <c r="I117" t="str">
        <f>_xlfn.XLOOKUP(F117,'Grade Bands'!$A$2:$A$31,'Grade Bands'!$B$2:$B$31,"Not Found")</f>
        <v>Officer</v>
      </c>
      <c r="J117">
        <f>_xlfn.XLOOKUP(F117,'Grade Bands'!$A$2:$A$31,'Grade Bands'!$C$2:$C$31,"Not Found")</f>
        <v>110000</v>
      </c>
      <c r="K117">
        <f>_xlfn.XLOOKUP(F117,'Grade Bands'!$A$2:$A$31,'Grade Bands'!$D$2:$D$31,"Not Found")</f>
        <v>230000</v>
      </c>
      <c r="L117" t="str">
        <f t="shared" si="3"/>
        <v>Within Band</v>
      </c>
      <c r="M117">
        <v>3</v>
      </c>
      <c r="N117" s="10">
        <v>30147</v>
      </c>
      <c r="O117" t="s">
        <v>311</v>
      </c>
      <c r="P117" t="s">
        <v>201</v>
      </c>
      <c r="Q117">
        <v>44</v>
      </c>
      <c r="R117">
        <v>7</v>
      </c>
      <c r="S117">
        <v>1404000</v>
      </c>
      <c r="T117" s="10">
        <v>43557</v>
      </c>
      <c r="U117" s="10"/>
    </row>
    <row r="118" spans="1:21" x14ac:dyDescent="0.35">
      <c r="A118">
        <v>1117</v>
      </c>
      <c r="B118" t="s">
        <v>161</v>
      </c>
      <c r="C118" t="s">
        <v>162</v>
      </c>
      <c r="D118" t="s">
        <v>42</v>
      </c>
      <c r="E118" t="s">
        <v>68</v>
      </c>
      <c r="F118" t="s">
        <v>69</v>
      </c>
      <c r="G118" t="s">
        <v>33</v>
      </c>
      <c r="H118">
        <v>124000</v>
      </c>
      <c r="I118" t="str">
        <f>_xlfn.XLOOKUP(F118,'Grade Bands'!$A$2:$A$31,'Grade Bands'!$B$2:$B$31,"Not Found")</f>
        <v>Officer</v>
      </c>
      <c r="J118">
        <f>_xlfn.XLOOKUP(F118,'Grade Bands'!$A$2:$A$31,'Grade Bands'!$C$2:$C$31,"Not Found")</f>
        <v>110000</v>
      </c>
      <c r="K118">
        <f>_xlfn.XLOOKUP(F118,'Grade Bands'!$A$2:$A$31,'Grade Bands'!$D$2:$D$31,"Not Found")</f>
        <v>230000</v>
      </c>
      <c r="L118" t="str">
        <f t="shared" si="3"/>
        <v>Within Band</v>
      </c>
      <c r="M118">
        <v>3</v>
      </c>
      <c r="N118" s="10">
        <v>27557</v>
      </c>
      <c r="O118" t="s">
        <v>312</v>
      </c>
      <c r="P118" t="s">
        <v>206</v>
      </c>
      <c r="Q118">
        <v>51</v>
      </c>
      <c r="R118">
        <v>1</v>
      </c>
      <c r="S118">
        <v>1488000</v>
      </c>
      <c r="T118" s="10">
        <v>45192</v>
      </c>
      <c r="U118" s="10">
        <v>45809</v>
      </c>
    </row>
    <row r="119" spans="1:21" x14ac:dyDescent="0.35">
      <c r="A119">
        <v>1118</v>
      </c>
      <c r="B119" t="s">
        <v>49</v>
      </c>
      <c r="C119" t="s">
        <v>142</v>
      </c>
      <c r="D119" t="s">
        <v>42</v>
      </c>
      <c r="E119" t="s">
        <v>65</v>
      </c>
      <c r="F119" t="s">
        <v>84</v>
      </c>
      <c r="G119" t="s">
        <v>39</v>
      </c>
      <c r="H119">
        <v>153000</v>
      </c>
      <c r="I119" t="str">
        <f>_xlfn.XLOOKUP(F119,'Grade Bands'!$A$2:$A$31,'Grade Bands'!$B$2:$B$31,"Not Found")</f>
        <v>Officer</v>
      </c>
      <c r="J119">
        <f>_xlfn.XLOOKUP(F119,'Grade Bands'!$A$2:$A$31,'Grade Bands'!$C$2:$C$31,"Not Found")</f>
        <v>110000</v>
      </c>
      <c r="K119">
        <f>_xlfn.XLOOKUP(F119,'Grade Bands'!$A$2:$A$31,'Grade Bands'!$D$2:$D$31,"Not Found")</f>
        <v>230000</v>
      </c>
      <c r="L119" t="str">
        <f t="shared" si="3"/>
        <v>Within Band</v>
      </c>
      <c r="M119">
        <v>3</v>
      </c>
      <c r="N119" s="10">
        <v>32704</v>
      </c>
      <c r="O119" t="s">
        <v>313</v>
      </c>
      <c r="P119" t="s">
        <v>201</v>
      </c>
      <c r="Q119">
        <v>37</v>
      </c>
      <c r="R119">
        <v>7</v>
      </c>
      <c r="S119">
        <v>1836000</v>
      </c>
      <c r="T119" s="10">
        <v>43450</v>
      </c>
      <c r="U119" s="10"/>
    </row>
    <row r="120" spans="1:21" x14ac:dyDescent="0.35">
      <c r="A120">
        <v>1119</v>
      </c>
      <c r="B120" t="s">
        <v>83</v>
      </c>
      <c r="C120" t="s">
        <v>118</v>
      </c>
      <c r="D120" t="s">
        <v>36</v>
      </c>
      <c r="E120" t="s">
        <v>37</v>
      </c>
      <c r="F120" t="s">
        <v>43</v>
      </c>
      <c r="G120" t="s">
        <v>39</v>
      </c>
      <c r="H120">
        <v>224000</v>
      </c>
      <c r="I120" t="str">
        <f>_xlfn.XLOOKUP(F120,'Grade Bands'!$A$2:$A$31,'Grade Bands'!$B$2:$B$31,"Not Found")</f>
        <v>Senior</v>
      </c>
      <c r="J120">
        <f>_xlfn.XLOOKUP(F120,'Grade Bands'!$A$2:$A$31,'Grade Bands'!$C$2:$C$31,"Not Found")</f>
        <v>220000</v>
      </c>
      <c r="K120">
        <f>_xlfn.XLOOKUP(F120,'Grade Bands'!$A$2:$A$31,'Grade Bands'!$D$2:$D$31,"Not Found")</f>
        <v>360000</v>
      </c>
      <c r="L120" t="str">
        <f t="shared" si="3"/>
        <v>Within Band</v>
      </c>
      <c r="M120">
        <v>2</v>
      </c>
      <c r="N120" s="10">
        <v>35103</v>
      </c>
      <c r="O120" t="s">
        <v>314</v>
      </c>
      <c r="P120" t="s">
        <v>201</v>
      </c>
      <c r="Q120">
        <v>30</v>
      </c>
      <c r="R120">
        <v>4</v>
      </c>
      <c r="S120">
        <v>2688000</v>
      </c>
      <c r="T120" s="10">
        <v>44540</v>
      </c>
      <c r="U120" s="10"/>
    </row>
    <row r="121" spans="1:21" x14ac:dyDescent="0.35">
      <c r="A121">
        <v>1120</v>
      </c>
      <c r="B121" t="s">
        <v>97</v>
      </c>
      <c r="C121" t="s">
        <v>132</v>
      </c>
      <c r="D121" t="s">
        <v>36</v>
      </c>
      <c r="E121" t="s">
        <v>51</v>
      </c>
      <c r="F121" t="s">
        <v>52</v>
      </c>
      <c r="G121" t="s">
        <v>44</v>
      </c>
      <c r="H121">
        <v>165000</v>
      </c>
      <c r="I121" t="str">
        <f>_xlfn.XLOOKUP(F121,'Grade Bands'!$A$2:$A$31,'Grade Bands'!$B$2:$B$31,"Not Found")</f>
        <v>Officer</v>
      </c>
      <c r="J121">
        <f>_xlfn.XLOOKUP(F121,'Grade Bands'!$A$2:$A$31,'Grade Bands'!$C$2:$C$31,"Not Found")</f>
        <v>110000</v>
      </c>
      <c r="K121">
        <f>_xlfn.XLOOKUP(F121,'Grade Bands'!$A$2:$A$31,'Grade Bands'!$D$2:$D$31,"Not Found")</f>
        <v>230000</v>
      </c>
      <c r="L121" t="str">
        <f t="shared" si="3"/>
        <v>Within Band</v>
      </c>
      <c r="M121">
        <v>3</v>
      </c>
      <c r="N121" s="10">
        <v>31230</v>
      </c>
      <c r="O121" t="s">
        <v>315</v>
      </c>
      <c r="P121" t="s">
        <v>206</v>
      </c>
      <c r="Q121">
        <v>41</v>
      </c>
      <c r="R121">
        <v>5</v>
      </c>
      <c r="S121">
        <v>1980000</v>
      </c>
      <c r="T121" s="10">
        <v>43804</v>
      </c>
      <c r="U121" s="10">
        <v>45697</v>
      </c>
    </row>
    <row r="122" spans="1:21" x14ac:dyDescent="0.35">
      <c r="A122">
        <v>1121</v>
      </c>
      <c r="B122" t="s">
        <v>55</v>
      </c>
      <c r="C122" t="s">
        <v>60</v>
      </c>
      <c r="D122" t="s">
        <v>42</v>
      </c>
      <c r="E122" t="s">
        <v>56</v>
      </c>
      <c r="F122" t="s">
        <v>143</v>
      </c>
      <c r="G122" t="s">
        <v>62</v>
      </c>
      <c r="H122">
        <v>308000</v>
      </c>
      <c r="I122" t="str">
        <f>_xlfn.XLOOKUP(F122,'Grade Bands'!$A$2:$A$31,'Grade Bands'!$B$2:$B$31,"Not Found")</f>
        <v>Officer</v>
      </c>
      <c r="J122">
        <f>_xlfn.XLOOKUP(F122,'Grade Bands'!$A$2:$A$31,'Grade Bands'!$C$2:$C$31,"Not Found")</f>
        <v>110000</v>
      </c>
      <c r="K122">
        <f>_xlfn.XLOOKUP(F122,'Grade Bands'!$A$2:$A$31,'Grade Bands'!$D$2:$D$31,"Not Found")</f>
        <v>230000</v>
      </c>
      <c r="L122" t="str">
        <f t="shared" si="3"/>
        <v>Outside Band</v>
      </c>
      <c r="M122">
        <v>4</v>
      </c>
      <c r="N122" s="10">
        <v>35537</v>
      </c>
      <c r="O122" t="s">
        <v>316</v>
      </c>
      <c r="P122" t="s">
        <v>201</v>
      </c>
      <c r="Q122">
        <v>29</v>
      </c>
      <c r="R122">
        <v>8</v>
      </c>
      <c r="S122">
        <v>3696000</v>
      </c>
      <c r="T122" s="10">
        <v>43001</v>
      </c>
      <c r="U122" s="10"/>
    </row>
    <row r="123" spans="1:21" x14ac:dyDescent="0.35">
      <c r="A123">
        <v>1122</v>
      </c>
      <c r="B123" t="s">
        <v>53</v>
      </c>
      <c r="C123" t="s">
        <v>127</v>
      </c>
      <c r="D123" t="s">
        <v>36</v>
      </c>
      <c r="E123" t="s">
        <v>56</v>
      </c>
      <c r="F123" t="s">
        <v>120</v>
      </c>
      <c r="G123" t="s">
        <v>33</v>
      </c>
      <c r="H123">
        <v>178000</v>
      </c>
      <c r="I123" t="str">
        <f>_xlfn.XLOOKUP(F123,'Grade Bands'!$A$2:$A$31,'Grade Bands'!$B$2:$B$31,"Not Found")</f>
        <v>Officer</v>
      </c>
      <c r="J123">
        <f>_xlfn.XLOOKUP(F123,'Grade Bands'!$A$2:$A$31,'Grade Bands'!$C$2:$C$31,"Not Found")</f>
        <v>110000</v>
      </c>
      <c r="K123">
        <f>_xlfn.XLOOKUP(F123,'Grade Bands'!$A$2:$A$31,'Grade Bands'!$D$2:$D$31,"Not Found")</f>
        <v>230000</v>
      </c>
      <c r="L123" t="str">
        <f t="shared" si="3"/>
        <v>Within Band</v>
      </c>
      <c r="M123">
        <v>3</v>
      </c>
      <c r="N123" s="10">
        <v>35234</v>
      </c>
      <c r="O123" t="s">
        <v>317</v>
      </c>
      <c r="P123" t="s">
        <v>201</v>
      </c>
      <c r="Q123">
        <v>30</v>
      </c>
      <c r="R123">
        <v>5</v>
      </c>
      <c r="S123">
        <v>2136000</v>
      </c>
      <c r="T123" s="10">
        <v>44152</v>
      </c>
      <c r="U123" s="10"/>
    </row>
    <row r="124" spans="1:21" x14ac:dyDescent="0.35">
      <c r="A124">
        <v>1123</v>
      </c>
      <c r="B124" t="s">
        <v>107</v>
      </c>
      <c r="C124" t="s">
        <v>50</v>
      </c>
      <c r="D124" t="s">
        <v>42</v>
      </c>
      <c r="E124" t="s">
        <v>65</v>
      </c>
      <c r="F124" t="s">
        <v>84</v>
      </c>
      <c r="G124" t="s">
        <v>113</v>
      </c>
      <c r="H124">
        <v>158000</v>
      </c>
      <c r="I124" t="str">
        <f>_xlfn.XLOOKUP(F124,'Grade Bands'!$A$2:$A$31,'Grade Bands'!$B$2:$B$31,"Not Found")</f>
        <v>Officer</v>
      </c>
      <c r="J124">
        <f>_xlfn.XLOOKUP(F124,'Grade Bands'!$A$2:$A$31,'Grade Bands'!$C$2:$C$31,"Not Found")</f>
        <v>110000</v>
      </c>
      <c r="K124">
        <f>_xlfn.XLOOKUP(F124,'Grade Bands'!$A$2:$A$31,'Grade Bands'!$D$2:$D$31,"Not Found")</f>
        <v>230000</v>
      </c>
      <c r="L124" t="str">
        <f t="shared" si="3"/>
        <v>Within Band</v>
      </c>
      <c r="M124">
        <v>4</v>
      </c>
      <c r="N124" s="10">
        <v>36893</v>
      </c>
      <c r="O124" t="s">
        <v>318</v>
      </c>
      <c r="P124" t="s">
        <v>201</v>
      </c>
      <c r="Q124">
        <v>25</v>
      </c>
      <c r="R124">
        <v>10</v>
      </c>
      <c r="S124">
        <v>1896000</v>
      </c>
      <c r="T124" s="10">
        <v>42524</v>
      </c>
      <c r="U124" s="10"/>
    </row>
    <row r="125" spans="1:21" x14ac:dyDescent="0.35">
      <c r="A125">
        <v>1124</v>
      </c>
      <c r="B125" t="s">
        <v>116</v>
      </c>
      <c r="C125" t="s">
        <v>91</v>
      </c>
      <c r="D125" t="s">
        <v>36</v>
      </c>
      <c r="E125" t="s">
        <v>88</v>
      </c>
      <c r="F125" t="s">
        <v>89</v>
      </c>
      <c r="G125" t="s">
        <v>39</v>
      </c>
      <c r="H125">
        <v>114000</v>
      </c>
      <c r="I125" t="str">
        <f>_xlfn.XLOOKUP(F125,'Grade Bands'!$A$2:$A$31,'Grade Bands'!$B$2:$B$31,"Not Found")</f>
        <v>Officer</v>
      </c>
      <c r="J125">
        <f>_xlfn.XLOOKUP(F125,'Grade Bands'!$A$2:$A$31,'Grade Bands'!$C$2:$C$31,"Not Found")</f>
        <v>110000</v>
      </c>
      <c r="K125">
        <f>_xlfn.XLOOKUP(F125,'Grade Bands'!$A$2:$A$31,'Grade Bands'!$D$2:$D$31,"Not Found")</f>
        <v>230000</v>
      </c>
      <c r="L125" t="str">
        <f t="shared" si="3"/>
        <v>Within Band</v>
      </c>
      <c r="M125">
        <v>5</v>
      </c>
      <c r="N125" s="10">
        <v>36538</v>
      </c>
      <c r="O125" t="s">
        <v>319</v>
      </c>
      <c r="P125" t="s">
        <v>206</v>
      </c>
      <c r="Q125">
        <v>26</v>
      </c>
      <c r="R125">
        <v>5</v>
      </c>
      <c r="S125">
        <v>1368000</v>
      </c>
      <c r="T125" s="10">
        <v>43717</v>
      </c>
      <c r="U125" s="10">
        <v>45897</v>
      </c>
    </row>
    <row r="126" spans="1:21" x14ac:dyDescent="0.35">
      <c r="A126">
        <v>1125</v>
      </c>
      <c r="B126" t="s">
        <v>34</v>
      </c>
      <c r="C126" t="s">
        <v>29</v>
      </c>
      <c r="D126" t="s">
        <v>36</v>
      </c>
      <c r="E126" t="s">
        <v>37</v>
      </c>
      <c r="F126" t="s">
        <v>38</v>
      </c>
      <c r="G126" t="s">
        <v>44</v>
      </c>
      <c r="H126">
        <v>170000</v>
      </c>
      <c r="I126" t="str">
        <f>_xlfn.XLOOKUP(F126,'Grade Bands'!$A$2:$A$31,'Grade Bands'!$B$2:$B$31,"Not Found")</f>
        <v>Officer</v>
      </c>
      <c r="J126">
        <f>_xlfn.XLOOKUP(F126,'Grade Bands'!$A$2:$A$31,'Grade Bands'!$C$2:$C$31,"Not Found")</f>
        <v>110000</v>
      </c>
      <c r="K126">
        <f>_xlfn.XLOOKUP(F126,'Grade Bands'!$A$2:$A$31,'Grade Bands'!$D$2:$D$31,"Not Found")</f>
        <v>230000</v>
      </c>
      <c r="L126" t="str">
        <f t="shared" si="3"/>
        <v>Within Band</v>
      </c>
      <c r="M126">
        <v>3</v>
      </c>
      <c r="N126" s="10">
        <v>32578</v>
      </c>
      <c r="O126" t="s">
        <v>320</v>
      </c>
      <c r="P126" t="s">
        <v>201</v>
      </c>
      <c r="Q126">
        <v>37</v>
      </c>
      <c r="R126">
        <v>2</v>
      </c>
      <c r="S126">
        <v>2040000</v>
      </c>
      <c r="T126" s="10">
        <v>45411</v>
      </c>
      <c r="U126" s="10"/>
    </row>
    <row r="127" spans="1:21" x14ac:dyDescent="0.35">
      <c r="A127">
        <v>1126</v>
      </c>
      <c r="B127" t="s">
        <v>163</v>
      </c>
      <c r="C127" t="s">
        <v>149</v>
      </c>
      <c r="D127" t="s">
        <v>36</v>
      </c>
      <c r="E127" t="s">
        <v>68</v>
      </c>
      <c r="F127" t="s">
        <v>105</v>
      </c>
      <c r="G127" t="s">
        <v>33</v>
      </c>
      <c r="H127">
        <v>256000</v>
      </c>
      <c r="I127" t="str">
        <f>_xlfn.XLOOKUP(F127,'Grade Bands'!$A$2:$A$31,'Grade Bands'!$B$2:$B$31,"Not Found")</f>
        <v>Senior</v>
      </c>
      <c r="J127">
        <f>_xlfn.XLOOKUP(F127,'Grade Bands'!$A$2:$A$31,'Grade Bands'!$C$2:$C$31,"Not Found")</f>
        <v>220000</v>
      </c>
      <c r="K127">
        <f>_xlfn.XLOOKUP(F127,'Grade Bands'!$A$2:$A$31,'Grade Bands'!$D$2:$D$31,"Not Found")</f>
        <v>360000</v>
      </c>
      <c r="L127" t="str">
        <f t="shared" si="3"/>
        <v>Within Band</v>
      </c>
      <c r="M127">
        <v>3</v>
      </c>
      <c r="N127" s="10">
        <v>34532</v>
      </c>
      <c r="O127" t="s">
        <v>321</v>
      </c>
      <c r="P127" t="s">
        <v>206</v>
      </c>
      <c r="Q127">
        <v>32</v>
      </c>
      <c r="R127">
        <v>2</v>
      </c>
      <c r="S127">
        <v>3072000</v>
      </c>
      <c r="T127" s="10">
        <v>43358</v>
      </c>
      <c r="U127" s="10">
        <v>44400</v>
      </c>
    </row>
    <row r="128" spans="1:21" x14ac:dyDescent="0.35">
      <c r="A128">
        <v>1127</v>
      </c>
      <c r="B128" t="s">
        <v>76</v>
      </c>
      <c r="C128" t="s">
        <v>122</v>
      </c>
      <c r="D128" t="s">
        <v>36</v>
      </c>
      <c r="E128" t="s">
        <v>37</v>
      </c>
      <c r="F128" t="s">
        <v>38</v>
      </c>
      <c r="G128" t="s">
        <v>44</v>
      </c>
      <c r="H128">
        <v>148000</v>
      </c>
      <c r="I128" t="str">
        <f>_xlfn.XLOOKUP(F128,'Grade Bands'!$A$2:$A$31,'Grade Bands'!$B$2:$B$31,"Not Found")</f>
        <v>Officer</v>
      </c>
      <c r="J128">
        <f>_xlfn.XLOOKUP(F128,'Grade Bands'!$A$2:$A$31,'Grade Bands'!$C$2:$C$31,"Not Found")</f>
        <v>110000</v>
      </c>
      <c r="K128">
        <f>_xlfn.XLOOKUP(F128,'Grade Bands'!$A$2:$A$31,'Grade Bands'!$D$2:$D$31,"Not Found")</f>
        <v>230000</v>
      </c>
      <c r="L128" t="str">
        <f t="shared" si="3"/>
        <v>Within Band</v>
      </c>
      <c r="M128">
        <v>4</v>
      </c>
      <c r="N128" s="10">
        <v>31064</v>
      </c>
      <c r="O128" t="s">
        <v>322</v>
      </c>
      <c r="P128" t="s">
        <v>201</v>
      </c>
      <c r="Q128">
        <v>41</v>
      </c>
      <c r="R128">
        <v>7</v>
      </c>
      <c r="S128">
        <v>1776000</v>
      </c>
      <c r="T128" s="10">
        <v>43588</v>
      </c>
      <c r="U128" s="10"/>
    </row>
    <row r="129" spans="1:21" x14ac:dyDescent="0.35">
      <c r="A129">
        <v>1128</v>
      </c>
      <c r="B129" t="s">
        <v>146</v>
      </c>
      <c r="C129" t="s">
        <v>91</v>
      </c>
      <c r="D129" t="s">
        <v>42</v>
      </c>
      <c r="E129" t="s">
        <v>37</v>
      </c>
      <c r="F129" t="s">
        <v>38</v>
      </c>
      <c r="G129" t="s">
        <v>33</v>
      </c>
      <c r="H129">
        <v>137000</v>
      </c>
      <c r="I129" t="str">
        <f>_xlfn.XLOOKUP(F129,'Grade Bands'!$A$2:$A$31,'Grade Bands'!$B$2:$B$31,"Not Found")</f>
        <v>Officer</v>
      </c>
      <c r="J129">
        <f>_xlfn.XLOOKUP(F129,'Grade Bands'!$A$2:$A$31,'Grade Bands'!$C$2:$C$31,"Not Found")</f>
        <v>110000</v>
      </c>
      <c r="K129">
        <f>_xlfn.XLOOKUP(F129,'Grade Bands'!$A$2:$A$31,'Grade Bands'!$D$2:$D$31,"Not Found")</f>
        <v>230000</v>
      </c>
      <c r="L129" t="str">
        <f t="shared" si="3"/>
        <v>Within Band</v>
      </c>
      <c r="M129">
        <v>3</v>
      </c>
      <c r="N129" s="10">
        <v>34661</v>
      </c>
      <c r="O129" t="s">
        <v>291</v>
      </c>
      <c r="P129" t="s">
        <v>201</v>
      </c>
      <c r="Q129">
        <v>31</v>
      </c>
      <c r="R129">
        <v>7</v>
      </c>
      <c r="S129">
        <v>1644000</v>
      </c>
      <c r="T129" s="10">
        <v>43454</v>
      </c>
      <c r="U129" s="10"/>
    </row>
    <row r="130" spans="1:21" x14ac:dyDescent="0.35">
      <c r="A130">
        <v>1129</v>
      </c>
      <c r="B130" t="s">
        <v>102</v>
      </c>
      <c r="C130" t="s">
        <v>50</v>
      </c>
      <c r="D130" t="s">
        <v>36</v>
      </c>
      <c r="E130" t="s">
        <v>88</v>
      </c>
      <c r="F130" t="s">
        <v>89</v>
      </c>
      <c r="G130" t="s">
        <v>33</v>
      </c>
      <c r="H130">
        <v>153000</v>
      </c>
      <c r="I130" t="str">
        <f>_xlfn.XLOOKUP(F130,'Grade Bands'!$A$2:$A$31,'Grade Bands'!$B$2:$B$31,"Not Found")</f>
        <v>Officer</v>
      </c>
      <c r="J130">
        <f>_xlfn.XLOOKUP(F130,'Grade Bands'!$A$2:$A$31,'Grade Bands'!$C$2:$C$31,"Not Found")</f>
        <v>110000</v>
      </c>
      <c r="K130">
        <f>_xlfn.XLOOKUP(F130,'Grade Bands'!$A$2:$A$31,'Grade Bands'!$D$2:$D$31,"Not Found")</f>
        <v>230000</v>
      </c>
      <c r="L130" t="str">
        <f t="shared" ref="L130:L161" si="4">IF(AND(H130&gt;=J130,H130&lt;=K130),"Within Band","Outside Band")</f>
        <v>Within Band</v>
      </c>
      <c r="M130">
        <v>3</v>
      </c>
      <c r="N130" s="10">
        <v>32814</v>
      </c>
      <c r="O130" t="s">
        <v>323</v>
      </c>
      <c r="P130" t="s">
        <v>201</v>
      </c>
      <c r="Q130">
        <v>36</v>
      </c>
      <c r="R130">
        <v>6</v>
      </c>
      <c r="S130">
        <v>1836000</v>
      </c>
      <c r="T130" s="10">
        <v>44001</v>
      </c>
      <c r="U130" s="10"/>
    </row>
    <row r="131" spans="1:21" x14ac:dyDescent="0.35">
      <c r="A131">
        <v>1130</v>
      </c>
      <c r="B131" t="s">
        <v>95</v>
      </c>
      <c r="C131" t="s">
        <v>156</v>
      </c>
      <c r="D131" t="s">
        <v>42</v>
      </c>
      <c r="E131" t="s">
        <v>65</v>
      </c>
      <c r="F131" t="s">
        <v>159</v>
      </c>
      <c r="G131" t="s">
        <v>33</v>
      </c>
      <c r="H131">
        <v>280000</v>
      </c>
      <c r="I131" t="str">
        <f>_xlfn.XLOOKUP(F131,'Grade Bands'!$A$2:$A$31,'Grade Bands'!$B$2:$B$31,"Not Found")</f>
        <v>Senior</v>
      </c>
      <c r="J131">
        <f>_xlfn.XLOOKUP(F131,'Grade Bands'!$A$2:$A$31,'Grade Bands'!$C$2:$C$31,"Not Found")</f>
        <v>220000</v>
      </c>
      <c r="K131">
        <f>_xlfn.XLOOKUP(F131,'Grade Bands'!$A$2:$A$31,'Grade Bands'!$D$2:$D$31,"Not Found")</f>
        <v>360000</v>
      </c>
      <c r="L131" t="str">
        <f t="shared" si="4"/>
        <v>Within Band</v>
      </c>
      <c r="M131">
        <v>2</v>
      </c>
      <c r="N131" s="10">
        <v>34243</v>
      </c>
      <c r="O131" t="s">
        <v>324</v>
      </c>
      <c r="P131" t="s">
        <v>201</v>
      </c>
      <c r="Q131">
        <v>32</v>
      </c>
      <c r="R131">
        <v>1</v>
      </c>
      <c r="S131">
        <v>3360000</v>
      </c>
      <c r="T131" s="10">
        <v>45604</v>
      </c>
      <c r="U131" s="10"/>
    </row>
    <row r="132" spans="1:21" x14ac:dyDescent="0.35">
      <c r="A132">
        <v>1131</v>
      </c>
      <c r="B132" t="s">
        <v>147</v>
      </c>
      <c r="C132" t="s">
        <v>162</v>
      </c>
      <c r="D132" t="s">
        <v>42</v>
      </c>
      <c r="E132" t="s">
        <v>51</v>
      </c>
      <c r="F132" t="s">
        <v>153</v>
      </c>
      <c r="G132" t="s">
        <v>33</v>
      </c>
      <c r="H132">
        <v>539000</v>
      </c>
      <c r="I132" t="str">
        <f>_xlfn.XLOOKUP(F132,'Grade Bands'!$A$2:$A$31,'Grade Bands'!$B$2:$B$31,"Not Found")</f>
        <v>Lead/Manager</v>
      </c>
      <c r="J132">
        <f>_xlfn.XLOOKUP(F132,'Grade Bands'!$A$2:$A$31,'Grade Bands'!$C$2:$C$31,"Not Found")</f>
        <v>360000</v>
      </c>
      <c r="K132">
        <f>_xlfn.XLOOKUP(F132,'Grade Bands'!$A$2:$A$31,'Grade Bands'!$D$2:$D$31,"Not Found")</f>
        <v>650000</v>
      </c>
      <c r="L132" t="str">
        <f t="shared" si="4"/>
        <v>Within Band</v>
      </c>
      <c r="M132">
        <v>3</v>
      </c>
      <c r="N132" s="10">
        <v>32460</v>
      </c>
      <c r="O132" t="s">
        <v>325</v>
      </c>
      <c r="P132" t="s">
        <v>206</v>
      </c>
      <c r="Q132">
        <v>37</v>
      </c>
      <c r="R132">
        <v>1</v>
      </c>
      <c r="S132">
        <v>6468000</v>
      </c>
      <c r="T132" s="10">
        <v>44679</v>
      </c>
      <c r="U132" s="10">
        <v>45122</v>
      </c>
    </row>
    <row r="133" spans="1:21" x14ac:dyDescent="0.35">
      <c r="A133">
        <v>1132</v>
      </c>
      <c r="B133" t="s">
        <v>154</v>
      </c>
      <c r="C133" t="s">
        <v>77</v>
      </c>
      <c r="D133" t="s">
        <v>42</v>
      </c>
      <c r="E133" t="s">
        <v>51</v>
      </c>
      <c r="F133" t="s">
        <v>52</v>
      </c>
      <c r="G133" t="s">
        <v>44</v>
      </c>
      <c r="H133">
        <v>166000</v>
      </c>
      <c r="I133" t="str">
        <f>_xlfn.XLOOKUP(F133,'Grade Bands'!$A$2:$A$31,'Grade Bands'!$B$2:$B$31,"Not Found")</f>
        <v>Officer</v>
      </c>
      <c r="J133">
        <f>_xlfn.XLOOKUP(F133,'Grade Bands'!$A$2:$A$31,'Grade Bands'!$C$2:$C$31,"Not Found")</f>
        <v>110000</v>
      </c>
      <c r="K133">
        <f>_xlfn.XLOOKUP(F133,'Grade Bands'!$A$2:$A$31,'Grade Bands'!$D$2:$D$31,"Not Found")</f>
        <v>230000</v>
      </c>
      <c r="L133" t="str">
        <f t="shared" si="4"/>
        <v>Within Band</v>
      </c>
      <c r="M133">
        <v>3</v>
      </c>
      <c r="N133" s="10">
        <v>33622</v>
      </c>
      <c r="O133" t="s">
        <v>326</v>
      </c>
      <c r="P133" t="s">
        <v>201</v>
      </c>
      <c r="Q133">
        <v>34</v>
      </c>
      <c r="R133">
        <v>5</v>
      </c>
      <c r="S133">
        <v>1992000</v>
      </c>
      <c r="T133" s="10">
        <v>44244</v>
      </c>
      <c r="U133" s="10"/>
    </row>
    <row r="134" spans="1:21" x14ac:dyDescent="0.35">
      <c r="A134">
        <v>1133</v>
      </c>
      <c r="B134" t="s">
        <v>95</v>
      </c>
      <c r="C134" t="s">
        <v>122</v>
      </c>
      <c r="D134" t="s">
        <v>42</v>
      </c>
      <c r="E134" t="s">
        <v>88</v>
      </c>
      <c r="F134" t="s">
        <v>89</v>
      </c>
      <c r="G134" t="s">
        <v>113</v>
      </c>
      <c r="H134">
        <v>162000</v>
      </c>
      <c r="I134" t="str">
        <f>_xlfn.XLOOKUP(F134,'Grade Bands'!$A$2:$A$31,'Grade Bands'!$B$2:$B$31,"Not Found")</f>
        <v>Officer</v>
      </c>
      <c r="J134">
        <f>_xlfn.XLOOKUP(F134,'Grade Bands'!$A$2:$A$31,'Grade Bands'!$C$2:$C$31,"Not Found")</f>
        <v>110000</v>
      </c>
      <c r="K134">
        <f>_xlfn.XLOOKUP(F134,'Grade Bands'!$A$2:$A$31,'Grade Bands'!$D$2:$D$31,"Not Found")</f>
        <v>230000</v>
      </c>
      <c r="L134" t="str">
        <f t="shared" si="4"/>
        <v>Within Band</v>
      </c>
      <c r="M134">
        <v>4</v>
      </c>
      <c r="N134" s="10">
        <v>33886</v>
      </c>
      <c r="O134" t="s">
        <v>327</v>
      </c>
      <c r="P134" t="s">
        <v>206</v>
      </c>
      <c r="Q134">
        <v>33</v>
      </c>
      <c r="R134">
        <v>1</v>
      </c>
      <c r="S134">
        <v>1944000</v>
      </c>
      <c r="T134" s="10">
        <v>45482</v>
      </c>
      <c r="U134" s="10">
        <v>46013</v>
      </c>
    </row>
    <row r="135" spans="1:21" x14ac:dyDescent="0.35">
      <c r="A135">
        <v>1134</v>
      </c>
      <c r="B135" t="s">
        <v>95</v>
      </c>
      <c r="C135" t="s">
        <v>104</v>
      </c>
      <c r="D135" t="s">
        <v>42</v>
      </c>
      <c r="E135" t="s">
        <v>88</v>
      </c>
      <c r="F135" t="s">
        <v>89</v>
      </c>
      <c r="G135" t="s">
        <v>44</v>
      </c>
      <c r="H135">
        <v>167000</v>
      </c>
      <c r="I135" t="str">
        <f>_xlfn.XLOOKUP(F135,'Grade Bands'!$A$2:$A$31,'Grade Bands'!$B$2:$B$31,"Not Found")</f>
        <v>Officer</v>
      </c>
      <c r="J135">
        <f>_xlfn.XLOOKUP(F135,'Grade Bands'!$A$2:$A$31,'Grade Bands'!$C$2:$C$31,"Not Found")</f>
        <v>110000</v>
      </c>
      <c r="K135">
        <f>_xlfn.XLOOKUP(F135,'Grade Bands'!$A$2:$A$31,'Grade Bands'!$D$2:$D$31,"Not Found")</f>
        <v>230000</v>
      </c>
      <c r="L135" t="str">
        <f t="shared" si="4"/>
        <v>Within Band</v>
      </c>
      <c r="M135">
        <v>3</v>
      </c>
      <c r="N135" s="10">
        <v>36355</v>
      </c>
      <c r="O135" t="s">
        <v>328</v>
      </c>
      <c r="P135" t="s">
        <v>201</v>
      </c>
      <c r="Q135">
        <v>27</v>
      </c>
      <c r="R135">
        <v>9</v>
      </c>
      <c r="S135">
        <v>2004000</v>
      </c>
      <c r="T135" s="10">
        <v>42644</v>
      </c>
      <c r="U135" s="10"/>
    </row>
    <row r="136" spans="1:21" x14ac:dyDescent="0.35">
      <c r="A136">
        <v>1135</v>
      </c>
      <c r="B136" t="s">
        <v>116</v>
      </c>
      <c r="C136" t="s">
        <v>60</v>
      </c>
      <c r="D136" t="s">
        <v>36</v>
      </c>
      <c r="E136" t="s">
        <v>88</v>
      </c>
      <c r="F136" t="s">
        <v>96</v>
      </c>
      <c r="G136" t="s">
        <v>33</v>
      </c>
      <c r="H136">
        <v>493000</v>
      </c>
      <c r="I136" t="str">
        <f>_xlfn.XLOOKUP(F136,'Grade Bands'!$A$2:$A$31,'Grade Bands'!$B$2:$B$31,"Not Found")</f>
        <v>Lead/Manager</v>
      </c>
      <c r="J136">
        <f>_xlfn.XLOOKUP(F136,'Grade Bands'!$A$2:$A$31,'Grade Bands'!$C$2:$C$31,"Not Found")</f>
        <v>360000</v>
      </c>
      <c r="K136">
        <f>_xlfn.XLOOKUP(F136,'Grade Bands'!$A$2:$A$31,'Grade Bands'!$D$2:$D$31,"Not Found")</f>
        <v>650000</v>
      </c>
      <c r="L136" t="str">
        <f t="shared" si="4"/>
        <v>Within Band</v>
      </c>
      <c r="M136">
        <v>3</v>
      </c>
      <c r="N136" s="10">
        <v>32980</v>
      </c>
      <c r="O136" t="s">
        <v>297</v>
      </c>
      <c r="P136" t="s">
        <v>201</v>
      </c>
      <c r="Q136">
        <v>36</v>
      </c>
      <c r="R136">
        <v>1</v>
      </c>
      <c r="S136">
        <v>5916000</v>
      </c>
      <c r="T136" s="10">
        <v>45700</v>
      </c>
      <c r="U136" s="10"/>
    </row>
    <row r="137" spans="1:21" x14ac:dyDescent="0.35">
      <c r="A137">
        <v>1136</v>
      </c>
      <c r="B137" t="s">
        <v>165</v>
      </c>
      <c r="C137" t="s">
        <v>166</v>
      </c>
      <c r="D137" t="s">
        <v>36</v>
      </c>
      <c r="E137" t="s">
        <v>56</v>
      </c>
      <c r="F137" t="s">
        <v>143</v>
      </c>
      <c r="G137" t="s">
        <v>33</v>
      </c>
      <c r="H137">
        <v>322000</v>
      </c>
      <c r="I137" t="str">
        <f>_xlfn.XLOOKUP(F137,'Grade Bands'!$A$2:$A$31,'Grade Bands'!$B$2:$B$31,"Not Found")</f>
        <v>Officer</v>
      </c>
      <c r="J137">
        <f>_xlfn.XLOOKUP(F137,'Grade Bands'!$A$2:$A$31,'Grade Bands'!$C$2:$C$31,"Not Found")</f>
        <v>110000</v>
      </c>
      <c r="K137">
        <f>_xlfn.XLOOKUP(F137,'Grade Bands'!$A$2:$A$31,'Grade Bands'!$D$2:$D$31,"Not Found")</f>
        <v>230000</v>
      </c>
      <c r="L137" t="str">
        <f t="shared" si="4"/>
        <v>Outside Band</v>
      </c>
      <c r="M137">
        <v>5</v>
      </c>
      <c r="N137" s="10">
        <v>28045</v>
      </c>
      <c r="O137" t="s">
        <v>329</v>
      </c>
      <c r="P137" t="s">
        <v>201</v>
      </c>
      <c r="Q137">
        <v>49</v>
      </c>
      <c r="R137">
        <v>7</v>
      </c>
      <c r="S137">
        <v>3864000</v>
      </c>
      <c r="T137" s="10">
        <v>43529</v>
      </c>
      <c r="U137" s="10"/>
    </row>
    <row r="138" spans="1:21" x14ac:dyDescent="0.35">
      <c r="A138">
        <v>1137</v>
      </c>
      <c r="B138" t="s">
        <v>152</v>
      </c>
      <c r="C138" t="s">
        <v>132</v>
      </c>
      <c r="D138" t="s">
        <v>36</v>
      </c>
      <c r="E138" t="s">
        <v>47</v>
      </c>
      <c r="F138" t="s">
        <v>101</v>
      </c>
      <c r="G138" t="s">
        <v>39</v>
      </c>
      <c r="H138">
        <v>150000</v>
      </c>
      <c r="I138" t="str">
        <f>_xlfn.XLOOKUP(F138,'Grade Bands'!$A$2:$A$31,'Grade Bands'!$B$2:$B$31,"Not Found")</f>
        <v>Officer</v>
      </c>
      <c r="J138">
        <f>_xlfn.XLOOKUP(F138,'Grade Bands'!$A$2:$A$31,'Grade Bands'!$C$2:$C$31,"Not Found")</f>
        <v>110000</v>
      </c>
      <c r="K138">
        <f>_xlfn.XLOOKUP(F138,'Grade Bands'!$A$2:$A$31,'Grade Bands'!$D$2:$D$31,"Not Found")</f>
        <v>230000</v>
      </c>
      <c r="L138" t="str">
        <f t="shared" si="4"/>
        <v>Within Band</v>
      </c>
      <c r="M138">
        <v>3</v>
      </c>
      <c r="N138" s="10">
        <v>29609</v>
      </c>
      <c r="O138" t="s">
        <v>330</v>
      </c>
      <c r="P138" t="s">
        <v>201</v>
      </c>
      <c r="Q138">
        <v>45</v>
      </c>
      <c r="R138">
        <v>3</v>
      </c>
      <c r="S138">
        <v>1800000</v>
      </c>
      <c r="T138" s="10">
        <v>44984</v>
      </c>
      <c r="U138" s="10"/>
    </row>
    <row r="139" spans="1:21" x14ac:dyDescent="0.35">
      <c r="A139">
        <v>1138</v>
      </c>
      <c r="B139" t="s">
        <v>76</v>
      </c>
      <c r="C139" t="s">
        <v>132</v>
      </c>
      <c r="D139" t="s">
        <v>36</v>
      </c>
      <c r="E139" t="s">
        <v>65</v>
      </c>
      <c r="F139" t="s">
        <v>84</v>
      </c>
      <c r="G139" t="s">
        <v>44</v>
      </c>
      <c r="H139">
        <v>156000</v>
      </c>
      <c r="I139" t="str">
        <f>_xlfn.XLOOKUP(F139,'Grade Bands'!$A$2:$A$31,'Grade Bands'!$B$2:$B$31,"Not Found")</f>
        <v>Officer</v>
      </c>
      <c r="J139">
        <f>_xlfn.XLOOKUP(F139,'Grade Bands'!$A$2:$A$31,'Grade Bands'!$C$2:$C$31,"Not Found")</f>
        <v>110000</v>
      </c>
      <c r="K139">
        <f>_xlfn.XLOOKUP(F139,'Grade Bands'!$A$2:$A$31,'Grade Bands'!$D$2:$D$31,"Not Found")</f>
        <v>230000</v>
      </c>
      <c r="L139" t="str">
        <f t="shared" si="4"/>
        <v>Within Band</v>
      </c>
      <c r="M139">
        <v>2</v>
      </c>
      <c r="N139" s="10">
        <v>30907</v>
      </c>
      <c r="O139" t="s">
        <v>331</v>
      </c>
      <c r="P139" t="s">
        <v>206</v>
      </c>
      <c r="Q139">
        <v>41</v>
      </c>
      <c r="R139">
        <v>1</v>
      </c>
      <c r="S139">
        <v>1872000</v>
      </c>
      <c r="T139" s="10">
        <v>44556</v>
      </c>
      <c r="U139" s="10">
        <v>45220</v>
      </c>
    </row>
    <row r="140" spans="1:21" x14ac:dyDescent="0.35">
      <c r="A140">
        <v>1139</v>
      </c>
      <c r="B140" t="s">
        <v>73</v>
      </c>
      <c r="C140" t="s">
        <v>162</v>
      </c>
      <c r="D140" t="s">
        <v>36</v>
      </c>
      <c r="E140" t="s">
        <v>56</v>
      </c>
      <c r="F140" t="s">
        <v>57</v>
      </c>
      <c r="G140" t="s">
        <v>44</v>
      </c>
      <c r="H140">
        <v>152000</v>
      </c>
      <c r="I140" t="str">
        <f>_xlfn.XLOOKUP(F140,'Grade Bands'!$A$2:$A$31,'Grade Bands'!$B$2:$B$31,"Not Found")</f>
        <v>Senior</v>
      </c>
      <c r="J140">
        <f>_xlfn.XLOOKUP(F140,'Grade Bands'!$A$2:$A$31,'Grade Bands'!$C$2:$C$31,"Not Found")</f>
        <v>220000</v>
      </c>
      <c r="K140">
        <f>_xlfn.XLOOKUP(F140,'Grade Bands'!$A$2:$A$31,'Grade Bands'!$D$2:$D$31,"Not Found")</f>
        <v>360000</v>
      </c>
      <c r="L140" t="str">
        <f t="shared" si="4"/>
        <v>Outside Band</v>
      </c>
      <c r="M140">
        <v>5</v>
      </c>
      <c r="N140" s="10">
        <v>29426</v>
      </c>
      <c r="O140" t="s">
        <v>332</v>
      </c>
      <c r="P140" t="s">
        <v>206</v>
      </c>
      <c r="Q140">
        <v>46</v>
      </c>
      <c r="R140">
        <v>1</v>
      </c>
      <c r="S140">
        <v>1824000</v>
      </c>
      <c r="T140" s="10">
        <v>44589</v>
      </c>
      <c r="U140" s="10">
        <v>45025</v>
      </c>
    </row>
    <row r="141" spans="1:21" x14ac:dyDescent="0.35">
      <c r="A141">
        <v>1140</v>
      </c>
      <c r="B141" t="s">
        <v>99</v>
      </c>
      <c r="C141" t="s">
        <v>160</v>
      </c>
      <c r="D141" t="s">
        <v>42</v>
      </c>
      <c r="E141" t="s">
        <v>65</v>
      </c>
      <c r="F141" t="s">
        <v>84</v>
      </c>
      <c r="G141" t="s">
        <v>113</v>
      </c>
      <c r="H141">
        <v>169000</v>
      </c>
      <c r="I141" t="str">
        <f>_xlfn.XLOOKUP(F141,'Grade Bands'!$A$2:$A$31,'Grade Bands'!$B$2:$B$31,"Not Found")</f>
        <v>Officer</v>
      </c>
      <c r="J141">
        <f>_xlfn.XLOOKUP(F141,'Grade Bands'!$A$2:$A$31,'Grade Bands'!$C$2:$C$31,"Not Found")</f>
        <v>110000</v>
      </c>
      <c r="K141">
        <f>_xlfn.XLOOKUP(F141,'Grade Bands'!$A$2:$A$31,'Grade Bands'!$D$2:$D$31,"Not Found")</f>
        <v>230000</v>
      </c>
      <c r="L141" t="str">
        <f t="shared" si="4"/>
        <v>Within Band</v>
      </c>
      <c r="M141">
        <v>4</v>
      </c>
      <c r="N141" s="10">
        <v>29991</v>
      </c>
      <c r="O141" t="s">
        <v>333</v>
      </c>
      <c r="P141" t="s">
        <v>201</v>
      </c>
      <c r="Q141">
        <v>44</v>
      </c>
      <c r="R141">
        <v>3</v>
      </c>
      <c r="S141">
        <v>2028000</v>
      </c>
      <c r="T141" s="10">
        <v>44944</v>
      </c>
      <c r="U141" s="10"/>
    </row>
    <row r="142" spans="1:21" x14ac:dyDescent="0.35">
      <c r="A142">
        <v>1141</v>
      </c>
      <c r="B142" t="s">
        <v>167</v>
      </c>
      <c r="C142" t="s">
        <v>118</v>
      </c>
      <c r="D142" t="s">
        <v>36</v>
      </c>
      <c r="E142" t="s">
        <v>68</v>
      </c>
      <c r="F142" t="s">
        <v>85</v>
      </c>
      <c r="G142" t="s">
        <v>33</v>
      </c>
      <c r="H142">
        <v>179000</v>
      </c>
      <c r="I142" t="str">
        <f>_xlfn.XLOOKUP(F142,'Grade Bands'!$A$2:$A$31,'Grade Bands'!$B$2:$B$31,"Not Found")</f>
        <v>Officer</v>
      </c>
      <c r="J142">
        <f>_xlfn.XLOOKUP(F142,'Grade Bands'!$A$2:$A$31,'Grade Bands'!$C$2:$C$31,"Not Found")</f>
        <v>110000</v>
      </c>
      <c r="K142">
        <f>_xlfn.XLOOKUP(F142,'Grade Bands'!$A$2:$A$31,'Grade Bands'!$D$2:$D$31,"Not Found")</f>
        <v>230000</v>
      </c>
      <c r="L142" t="str">
        <f t="shared" si="4"/>
        <v>Within Band</v>
      </c>
      <c r="M142">
        <v>3</v>
      </c>
      <c r="N142" s="10">
        <v>29892</v>
      </c>
      <c r="O142" t="s">
        <v>334</v>
      </c>
      <c r="P142" t="s">
        <v>206</v>
      </c>
      <c r="Q142">
        <v>44</v>
      </c>
      <c r="R142">
        <v>6</v>
      </c>
      <c r="S142">
        <v>2148000</v>
      </c>
      <c r="T142" s="10">
        <v>42691</v>
      </c>
      <c r="U142" s="10">
        <v>45170</v>
      </c>
    </row>
    <row r="143" spans="1:21" x14ac:dyDescent="0.35">
      <c r="A143">
        <v>1142</v>
      </c>
      <c r="B143" t="s">
        <v>154</v>
      </c>
      <c r="C143" t="s">
        <v>122</v>
      </c>
      <c r="D143" t="s">
        <v>42</v>
      </c>
      <c r="E143" t="s">
        <v>65</v>
      </c>
      <c r="F143" t="s">
        <v>159</v>
      </c>
      <c r="G143" t="s">
        <v>33</v>
      </c>
      <c r="H143">
        <v>325000</v>
      </c>
      <c r="I143" t="str">
        <f>_xlfn.XLOOKUP(F143,'Grade Bands'!$A$2:$A$31,'Grade Bands'!$B$2:$B$31,"Not Found")</f>
        <v>Senior</v>
      </c>
      <c r="J143">
        <f>_xlfn.XLOOKUP(F143,'Grade Bands'!$A$2:$A$31,'Grade Bands'!$C$2:$C$31,"Not Found")</f>
        <v>220000</v>
      </c>
      <c r="K143">
        <f>_xlfn.XLOOKUP(F143,'Grade Bands'!$A$2:$A$31,'Grade Bands'!$D$2:$D$31,"Not Found")</f>
        <v>360000</v>
      </c>
      <c r="L143" t="str">
        <f t="shared" si="4"/>
        <v>Within Band</v>
      </c>
      <c r="M143">
        <v>3</v>
      </c>
      <c r="N143" s="10">
        <v>28783</v>
      </c>
      <c r="O143" t="s">
        <v>335</v>
      </c>
      <c r="P143" t="s">
        <v>201</v>
      </c>
      <c r="Q143">
        <v>47</v>
      </c>
      <c r="R143">
        <v>8</v>
      </c>
      <c r="S143">
        <v>3900000</v>
      </c>
      <c r="T143" s="10">
        <v>43132</v>
      </c>
      <c r="U143" s="10"/>
    </row>
    <row r="144" spans="1:21" x14ac:dyDescent="0.35">
      <c r="A144">
        <v>1143</v>
      </c>
      <c r="B144" t="s">
        <v>165</v>
      </c>
      <c r="C144" t="s">
        <v>127</v>
      </c>
      <c r="D144" t="s">
        <v>36</v>
      </c>
      <c r="E144" t="s">
        <v>68</v>
      </c>
      <c r="F144" t="s">
        <v>85</v>
      </c>
      <c r="G144" t="s">
        <v>39</v>
      </c>
      <c r="H144">
        <v>155000</v>
      </c>
      <c r="I144" t="str">
        <f>_xlfn.XLOOKUP(F144,'Grade Bands'!$A$2:$A$31,'Grade Bands'!$B$2:$B$31,"Not Found")</f>
        <v>Officer</v>
      </c>
      <c r="J144">
        <f>_xlfn.XLOOKUP(F144,'Grade Bands'!$A$2:$A$31,'Grade Bands'!$C$2:$C$31,"Not Found")</f>
        <v>110000</v>
      </c>
      <c r="K144">
        <f>_xlfn.XLOOKUP(F144,'Grade Bands'!$A$2:$A$31,'Grade Bands'!$D$2:$D$31,"Not Found")</f>
        <v>230000</v>
      </c>
      <c r="L144" t="str">
        <f t="shared" si="4"/>
        <v>Within Band</v>
      </c>
      <c r="M144">
        <v>4</v>
      </c>
      <c r="N144" s="10">
        <v>28494</v>
      </c>
      <c r="O144" t="s">
        <v>336</v>
      </c>
      <c r="P144" t="s">
        <v>201</v>
      </c>
      <c r="Q144">
        <v>48</v>
      </c>
      <c r="R144">
        <v>2</v>
      </c>
      <c r="S144">
        <v>1860000</v>
      </c>
      <c r="T144" s="10">
        <v>45154</v>
      </c>
      <c r="U144" s="10"/>
    </row>
    <row r="145" spans="1:21" x14ac:dyDescent="0.35">
      <c r="A145">
        <v>1144</v>
      </c>
      <c r="B145" t="s">
        <v>97</v>
      </c>
      <c r="C145" t="s">
        <v>156</v>
      </c>
      <c r="D145" t="s">
        <v>36</v>
      </c>
      <c r="E145" t="s">
        <v>56</v>
      </c>
      <c r="F145" t="s">
        <v>57</v>
      </c>
      <c r="G145" t="s">
        <v>62</v>
      </c>
      <c r="H145">
        <v>230000</v>
      </c>
      <c r="I145" t="str">
        <f>_xlfn.XLOOKUP(F145,'Grade Bands'!$A$2:$A$31,'Grade Bands'!$B$2:$B$31,"Not Found")</f>
        <v>Senior</v>
      </c>
      <c r="J145">
        <f>_xlfn.XLOOKUP(F145,'Grade Bands'!$A$2:$A$31,'Grade Bands'!$C$2:$C$31,"Not Found")</f>
        <v>220000</v>
      </c>
      <c r="K145">
        <f>_xlfn.XLOOKUP(F145,'Grade Bands'!$A$2:$A$31,'Grade Bands'!$D$2:$D$31,"Not Found")</f>
        <v>360000</v>
      </c>
      <c r="L145" t="str">
        <f t="shared" si="4"/>
        <v>Within Band</v>
      </c>
      <c r="M145">
        <v>4</v>
      </c>
      <c r="N145" s="10">
        <v>27539</v>
      </c>
      <c r="O145" t="s">
        <v>337</v>
      </c>
      <c r="P145" t="s">
        <v>201</v>
      </c>
      <c r="Q145">
        <v>51</v>
      </c>
      <c r="R145">
        <v>9</v>
      </c>
      <c r="S145">
        <v>2760000</v>
      </c>
      <c r="T145" s="10">
        <v>42818</v>
      </c>
      <c r="U145" s="10"/>
    </row>
    <row r="146" spans="1:21" x14ac:dyDescent="0.35">
      <c r="A146">
        <v>1145</v>
      </c>
      <c r="B146" t="s">
        <v>131</v>
      </c>
      <c r="C146" t="s">
        <v>132</v>
      </c>
      <c r="D146" t="s">
        <v>36</v>
      </c>
      <c r="E146" t="s">
        <v>79</v>
      </c>
      <c r="F146" t="s">
        <v>32</v>
      </c>
      <c r="G146" t="s">
        <v>33</v>
      </c>
      <c r="H146">
        <v>123000</v>
      </c>
      <c r="I146" t="str">
        <f>_xlfn.XLOOKUP(F146,'Grade Bands'!$A$2:$A$31,'Grade Bands'!$B$2:$B$31,"Not Found")</f>
        <v>Officer</v>
      </c>
      <c r="J146">
        <f>_xlfn.XLOOKUP(F146,'Grade Bands'!$A$2:$A$31,'Grade Bands'!$C$2:$C$31,"Not Found")</f>
        <v>110000</v>
      </c>
      <c r="K146">
        <f>_xlfn.XLOOKUP(F146,'Grade Bands'!$A$2:$A$31,'Grade Bands'!$D$2:$D$31,"Not Found")</f>
        <v>230000</v>
      </c>
      <c r="L146" t="str">
        <f t="shared" si="4"/>
        <v>Within Band</v>
      </c>
      <c r="M146">
        <v>3</v>
      </c>
      <c r="N146" s="10">
        <v>34932</v>
      </c>
      <c r="O146" t="s">
        <v>261</v>
      </c>
      <c r="P146" t="s">
        <v>201</v>
      </c>
      <c r="Q146">
        <v>30</v>
      </c>
      <c r="R146">
        <v>5</v>
      </c>
      <c r="S146">
        <v>1476000</v>
      </c>
      <c r="T146" s="10">
        <v>44408</v>
      </c>
      <c r="U146" s="10"/>
    </row>
    <row r="147" spans="1:21" x14ac:dyDescent="0.35">
      <c r="A147">
        <v>1146</v>
      </c>
      <c r="B147" t="s">
        <v>28</v>
      </c>
      <c r="C147" t="s">
        <v>149</v>
      </c>
      <c r="D147" t="s">
        <v>42</v>
      </c>
      <c r="E147" t="s">
        <v>65</v>
      </c>
      <c r="F147" t="s">
        <v>66</v>
      </c>
      <c r="G147" t="s">
        <v>33</v>
      </c>
      <c r="H147">
        <v>194000</v>
      </c>
      <c r="I147" t="str">
        <f>_xlfn.XLOOKUP(F147,'Grade Bands'!$A$2:$A$31,'Grade Bands'!$B$2:$B$31,"Not Found")</f>
        <v>Officer</v>
      </c>
      <c r="J147">
        <f>_xlfn.XLOOKUP(F147,'Grade Bands'!$A$2:$A$31,'Grade Bands'!$C$2:$C$31,"Not Found")</f>
        <v>110000</v>
      </c>
      <c r="K147">
        <f>_xlfn.XLOOKUP(F147,'Grade Bands'!$A$2:$A$31,'Grade Bands'!$D$2:$D$31,"Not Found")</f>
        <v>230000</v>
      </c>
      <c r="L147" t="str">
        <f t="shared" si="4"/>
        <v>Within Band</v>
      </c>
      <c r="M147">
        <v>4</v>
      </c>
      <c r="N147" s="10">
        <v>36423</v>
      </c>
      <c r="O147" t="s">
        <v>338</v>
      </c>
      <c r="P147" t="s">
        <v>206</v>
      </c>
      <c r="Q147">
        <v>26</v>
      </c>
      <c r="R147">
        <v>5</v>
      </c>
      <c r="S147">
        <v>2328000</v>
      </c>
      <c r="T147" s="10">
        <v>43003</v>
      </c>
      <c r="U147" s="10">
        <v>45095</v>
      </c>
    </row>
    <row r="148" spans="1:21" x14ac:dyDescent="0.35">
      <c r="A148">
        <v>1147</v>
      </c>
      <c r="B148" t="s">
        <v>109</v>
      </c>
      <c r="C148" t="s">
        <v>82</v>
      </c>
      <c r="D148" t="s">
        <v>42</v>
      </c>
      <c r="E148" t="s">
        <v>47</v>
      </c>
      <c r="F148" t="s">
        <v>72</v>
      </c>
      <c r="G148" t="s">
        <v>39</v>
      </c>
      <c r="H148">
        <v>478000</v>
      </c>
      <c r="I148" t="str">
        <f>_xlfn.XLOOKUP(F148,'Grade Bands'!$A$2:$A$31,'Grade Bands'!$B$2:$B$31,"Not Found")</f>
        <v>Lead/Manager</v>
      </c>
      <c r="J148">
        <f>_xlfn.XLOOKUP(F148,'Grade Bands'!$A$2:$A$31,'Grade Bands'!$C$2:$C$31,"Not Found")</f>
        <v>360000</v>
      </c>
      <c r="K148">
        <f>_xlfn.XLOOKUP(F148,'Grade Bands'!$A$2:$A$31,'Grade Bands'!$D$2:$D$31,"Not Found")</f>
        <v>650000</v>
      </c>
      <c r="L148" t="str">
        <f t="shared" si="4"/>
        <v>Within Band</v>
      </c>
      <c r="M148">
        <v>4</v>
      </c>
      <c r="N148" s="10">
        <v>32897</v>
      </c>
      <c r="O148" t="s">
        <v>339</v>
      </c>
      <c r="P148" t="s">
        <v>201</v>
      </c>
      <c r="Q148">
        <v>36</v>
      </c>
      <c r="R148">
        <v>4</v>
      </c>
      <c r="S148">
        <v>5736000</v>
      </c>
      <c r="T148" s="10">
        <v>44559</v>
      </c>
      <c r="U148" s="10"/>
    </row>
    <row r="149" spans="1:21" x14ac:dyDescent="0.35">
      <c r="A149">
        <v>1148</v>
      </c>
      <c r="B149" t="s">
        <v>119</v>
      </c>
      <c r="C149" t="s">
        <v>142</v>
      </c>
      <c r="D149" t="s">
        <v>42</v>
      </c>
      <c r="E149" t="s">
        <v>51</v>
      </c>
      <c r="F149" t="s">
        <v>52</v>
      </c>
      <c r="G149" t="s">
        <v>33</v>
      </c>
      <c r="H149">
        <v>172000</v>
      </c>
      <c r="I149" t="str">
        <f>_xlfn.XLOOKUP(F149,'Grade Bands'!$A$2:$A$31,'Grade Bands'!$B$2:$B$31,"Not Found")</f>
        <v>Officer</v>
      </c>
      <c r="J149">
        <f>_xlfn.XLOOKUP(F149,'Grade Bands'!$A$2:$A$31,'Grade Bands'!$C$2:$C$31,"Not Found")</f>
        <v>110000</v>
      </c>
      <c r="K149">
        <f>_xlfn.XLOOKUP(F149,'Grade Bands'!$A$2:$A$31,'Grade Bands'!$D$2:$D$31,"Not Found")</f>
        <v>230000</v>
      </c>
      <c r="L149" t="str">
        <f t="shared" si="4"/>
        <v>Within Band</v>
      </c>
      <c r="M149">
        <v>4</v>
      </c>
      <c r="N149" s="10">
        <v>28340</v>
      </c>
      <c r="O149" t="s">
        <v>340</v>
      </c>
      <c r="P149" t="s">
        <v>206</v>
      </c>
      <c r="Q149">
        <v>49</v>
      </c>
      <c r="R149">
        <v>1</v>
      </c>
      <c r="S149">
        <v>2064000</v>
      </c>
      <c r="T149" s="10">
        <v>45310</v>
      </c>
      <c r="U149" s="10">
        <v>45868</v>
      </c>
    </row>
    <row r="150" spans="1:21" x14ac:dyDescent="0.35">
      <c r="A150">
        <v>1149</v>
      </c>
      <c r="B150" t="s">
        <v>45</v>
      </c>
      <c r="C150" t="s">
        <v>124</v>
      </c>
      <c r="D150" t="s">
        <v>42</v>
      </c>
      <c r="E150" t="s">
        <v>56</v>
      </c>
      <c r="F150" t="s">
        <v>120</v>
      </c>
      <c r="G150" t="s">
        <v>62</v>
      </c>
      <c r="H150">
        <v>129000</v>
      </c>
      <c r="I150" t="str">
        <f>_xlfn.XLOOKUP(F150,'Grade Bands'!$A$2:$A$31,'Grade Bands'!$B$2:$B$31,"Not Found")</f>
        <v>Officer</v>
      </c>
      <c r="J150">
        <f>_xlfn.XLOOKUP(F150,'Grade Bands'!$A$2:$A$31,'Grade Bands'!$C$2:$C$31,"Not Found")</f>
        <v>110000</v>
      </c>
      <c r="K150">
        <f>_xlfn.XLOOKUP(F150,'Grade Bands'!$A$2:$A$31,'Grade Bands'!$D$2:$D$31,"Not Found")</f>
        <v>230000</v>
      </c>
      <c r="L150" t="str">
        <f t="shared" si="4"/>
        <v>Within Band</v>
      </c>
      <c r="M150">
        <v>4</v>
      </c>
      <c r="N150" s="10">
        <v>28516</v>
      </c>
      <c r="O150" t="s">
        <v>341</v>
      </c>
      <c r="P150" t="s">
        <v>201</v>
      </c>
      <c r="Q150">
        <v>48</v>
      </c>
      <c r="R150">
        <v>2</v>
      </c>
      <c r="S150">
        <v>1548000</v>
      </c>
      <c r="T150" s="10">
        <v>45420</v>
      </c>
      <c r="U150" s="10"/>
    </row>
    <row r="151" spans="1:21" x14ac:dyDescent="0.35">
      <c r="A151">
        <v>1150</v>
      </c>
      <c r="B151" t="s">
        <v>76</v>
      </c>
      <c r="C151" t="s">
        <v>124</v>
      </c>
      <c r="D151" t="s">
        <v>36</v>
      </c>
      <c r="E151" t="s">
        <v>47</v>
      </c>
      <c r="F151" t="s">
        <v>101</v>
      </c>
      <c r="G151" t="s">
        <v>33</v>
      </c>
      <c r="H151">
        <v>164000</v>
      </c>
      <c r="I151" t="str">
        <f>_xlfn.XLOOKUP(F151,'Grade Bands'!$A$2:$A$31,'Grade Bands'!$B$2:$B$31,"Not Found")</f>
        <v>Officer</v>
      </c>
      <c r="J151">
        <f>_xlfn.XLOOKUP(F151,'Grade Bands'!$A$2:$A$31,'Grade Bands'!$C$2:$C$31,"Not Found")</f>
        <v>110000</v>
      </c>
      <c r="K151">
        <f>_xlfn.XLOOKUP(F151,'Grade Bands'!$A$2:$A$31,'Grade Bands'!$D$2:$D$31,"Not Found")</f>
        <v>230000</v>
      </c>
      <c r="L151" t="str">
        <f t="shared" si="4"/>
        <v>Within Band</v>
      </c>
      <c r="M151">
        <v>4</v>
      </c>
      <c r="N151" s="10">
        <v>29648</v>
      </c>
      <c r="O151" t="s">
        <v>342</v>
      </c>
      <c r="P151" t="s">
        <v>201</v>
      </c>
      <c r="Q151">
        <v>45</v>
      </c>
      <c r="R151">
        <v>4</v>
      </c>
      <c r="S151">
        <v>1968000</v>
      </c>
      <c r="T151" s="10">
        <v>44483</v>
      </c>
      <c r="U151" s="10"/>
    </row>
    <row r="152" spans="1:21" x14ac:dyDescent="0.35">
      <c r="A152">
        <v>1151</v>
      </c>
      <c r="B152" t="s">
        <v>110</v>
      </c>
      <c r="C152" t="s">
        <v>50</v>
      </c>
      <c r="D152" t="s">
        <v>42</v>
      </c>
      <c r="E152" t="s">
        <v>51</v>
      </c>
      <c r="F152" t="s">
        <v>52</v>
      </c>
      <c r="G152" t="s">
        <v>44</v>
      </c>
      <c r="H152">
        <v>177000</v>
      </c>
      <c r="I152" t="str">
        <f>_xlfn.XLOOKUP(F152,'Grade Bands'!$A$2:$A$31,'Grade Bands'!$B$2:$B$31,"Not Found")</f>
        <v>Officer</v>
      </c>
      <c r="J152">
        <f>_xlfn.XLOOKUP(F152,'Grade Bands'!$A$2:$A$31,'Grade Bands'!$C$2:$C$31,"Not Found")</f>
        <v>110000</v>
      </c>
      <c r="K152">
        <f>_xlfn.XLOOKUP(F152,'Grade Bands'!$A$2:$A$31,'Grade Bands'!$D$2:$D$31,"Not Found")</f>
        <v>230000</v>
      </c>
      <c r="L152" t="str">
        <f t="shared" si="4"/>
        <v>Within Band</v>
      </c>
      <c r="M152">
        <v>2</v>
      </c>
      <c r="N152" s="10">
        <v>35071</v>
      </c>
      <c r="O152" t="s">
        <v>343</v>
      </c>
      <c r="P152" t="s">
        <v>206</v>
      </c>
      <c r="Q152">
        <v>30</v>
      </c>
      <c r="R152">
        <v>2</v>
      </c>
      <c r="S152">
        <v>2124000</v>
      </c>
      <c r="T152" s="10">
        <v>44094</v>
      </c>
      <c r="U152" s="10">
        <v>45108</v>
      </c>
    </row>
    <row r="153" spans="1:21" x14ac:dyDescent="0.35">
      <c r="A153">
        <v>1152</v>
      </c>
      <c r="B153" t="s">
        <v>95</v>
      </c>
      <c r="C153" t="s">
        <v>108</v>
      </c>
      <c r="D153" t="s">
        <v>42</v>
      </c>
      <c r="E153" t="s">
        <v>65</v>
      </c>
      <c r="F153" t="s">
        <v>112</v>
      </c>
      <c r="G153" t="s">
        <v>33</v>
      </c>
      <c r="H153">
        <v>420000</v>
      </c>
      <c r="I153" t="str">
        <f>_xlfn.XLOOKUP(F153,'Grade Bands'!$A$2:$A$31,'Grade Bands'!$B$2:$B$31,"Not Found")</f>
        <v>Lead/Manager</v>
      </c>
      <c r="J153">
        <f>_xlfn.XLOOKUP(F153,'Grade Bands'!$A$2:$A$31,'Grade Bands'!$C$2:$C$31,"Not Found")</f>
        <v>360000</v>
      </c>
      <c r="K153">
        <f>_xlfn.XLOOKUP(F153,'Grade Bands'!$A$2:$A$31,'Grade Bands'!$D$2:$D$31,"Not Found")</f>
        <v>650000</v>
      </c>
      <c r="L153" t="str">
        <f t="shared" si="4"/>
        <v>Within Band</v>
      </c>
      <c r="M153">
        <v>3</v>
      </c>
      <c r="N153" s="10">
        <v>30535</v>
      </c>
      <c r="O153" t="s">
        <v>344</v>
      </c>
      <c r="P153" t="s">
        <v>201</v>
      </c>
      <c r="Q153">
        <v>42</v>
      </c>
      <c r="R153">
        <v>1</v>
      </c>
      <c r="S153">
        <v>5040000</v>
      </c>
      <c r="T153" s="10">
        <v>45660</v>
      </c>
      <c r="U153" s="10"/>
    </row>
    <row r="154" spans="1:21" x14ac:dyDescent="0.35">
      <c r="A154">
        <v>1153</v>
      </c>
      <c r="B154" t="s">
        <v>165</v>
      </c>
      <c r="C154" t="s">
        <v>124</v>
      </c>
      <c r="D154" t="s">
        <v>36</v>
      </c>
      <c r="E154" t="s">
        <v>79</v>
      </c>
      <c r="F154" t="s">
        <v>32</v>
      </c>
      <c r="G154" t="s">
        <v>62</v>
      </c>
      <c r="H154">
        <v>125000</v>
      </c>
      <c r="I154" t="str">
        <f>_xlfn.XLOOKUP(F154,'Grade Bands'!$A$2:$A$31,'Grade Bands'!$B$2:$B$31,"Not Found")</f>
        <v>Officer</v>
      </c>
      <c r="J154">
        <f>_xlfn.XLOOKUP(F154,'Grade Bands'!$A$2:$A$31,'Grade Bands'!$C$2:$C$31,"Not Found")</f>
        <v>110000</v>
      </c>
      <c r="K154">
        <f>_xlfn.XLOOKUP(F154,'Grade Bands'!$A$2:$A$31,'Grade Bands'!$D$2:$D$31,"Not Found")</f>
        <v>230000</v>
      </c>
      <c r="L154" t="str">
        <f t="shared" si="4"/>
        <v>Within Band</v>
      </c>
      <c r="M154">
        <v>2</v>
      </c>
      <c r="N154" s="10">
        <v>32093</v>
      </c>
      <c r="O154" t="s">
        <v>345</v>
      </c>
      <c r="P154" t="s">
        <v>201</v>
      </c>
      <c r="Q154">
        <v>38</v>
      </c>
      <c r="R154">
        <v>1</v>
      </c>
      <c r="S154">
        <v>1500000</v>
      </c>
      <c r="T154" s="10">
        <v>45704</v>
      </c>
      <c r="U154" s="10"/>
    </row>
    <row r="155" spans="1:21" x14ac:dyDescent="0.35">
      <c r="A155">
        <v>1154</v>
      </c>
      <c r="B155" t="s">
        <v>107</v>
      </c>
      <c r="C155" t="s">
        <v>98</v>
      </c>
      <c r="D155" t="s">
        <v>42</v>
      </c>
      <c r="E155" t="s">
        <v>37</v>
      </c>
      <c r="F155" t="s">
        <v>169</v>
      </c>
      <c r="G155" t="s">
        <v>33</v>
      </c>
      <c r="H155">
        <v>247000</v>
      </c>
      <c r="I155" t="str">
        <f>_xlfn.XLOOKUP(F155,'Grade Bands'!$A$2:$A$31,'Grade Bands'!$B$2:$B$31,"Not Found")</f>
        <v>Lead/Manager</v>
      </c>
      <c r="J155">
        <f>_xlfn.XLOOKUP(F155,'Grade Bands'!$A$2:$A$31,'Grade Bands'!$C$2:$C$31,"Not Found")</f>
        <v>360000</v>
      </c>
      <c r="K155">
        <f>_xlfn.XLOOKUP(F155,'Grade Bands'!$A$2:$A$31,'Grade Bands'!$D$2:$D$31,"Not Found")</f>
        <v>650000</v>
      </c>
      <c r="L155" t="str">
        <f t="shared" si="4"/>
        <v>Outside Band</v>
      </c>
      <c r="M155">
        <v>3</v>
      </c>
      <c r="N155" s="10">
        <v>29903</v>
      </c>
      <c r="O155" t="s">
        <v>346</v>
      </c>
      <c r="P155" t="s">
        <v>201</v>
      </c>
      <c r="Q155">
        <v>44</v>
      </c>
      <c r="R155">
        <v>7</v>
      </c>
      <c r="S155">
        <v>2964000</v>
      </c>
      <c r="T155" s="10">
        <v>43419</v>
      </c>
      <c r="U155" s="10"/>
    </row>
    <row r="156" spans="1:21" x14ac:dyDescent="0.35">
      <c r="A156">
        <v>1155</v>
      </c>
      <c r="B156" t="s">
        <v>170</v>
      </c>
      <c r="C156" t="s">
        <v>60</v>
      </c>
      <c r="D156" t="s">
        <v>36</v>
      </c>
      <c r="E156" t="s">
        <v>51</v>
      </c>
      <c r="F156" t="s">
        <v>52</v>
      </c>
      <c r="G156" t="s">
        <v>113</v>
      </c>
      <c r="H156">
        <v>141000</v>
      </c>
      <c r="I156" t="str">
        <f>_xlfn.XLOOKUP(F156,'Grade Bands'!$A$2:$A$31,'Grade Bands'!$B$2:$B$31,"Not Found")</f>
        <v>Officer</v>
      </c>
      <c r="J156">
        <f>_xlfn.XLOOKUP(F156,'Grade Bands'!$A$2:$A$31,'Grade Bands'!$C$2:$C$31,"Not Found")</f>
        <v>110000</v>
      </c>
      <c r="K156">
        <f>_xlfn.XLOOKUP(F156,'Grade Bands'!$A$2:$A$31,'Grade Bands'!$D$2:$D$31,"Not Found")</f>
        <v>230000</v>
      </c>
      <c r="L156" t="str">
        <f t="shared" si="4"/>
        <v>Within Band</v>
      </c>
      <c r="M156">
        <v>3</v>
      </c>
      <c r="N156" s="10">
        <v>29900</v>
      </c>
      <c r="O156" t="s">
        <v>347</v>
      </c>
      <c r="P156" t="s">
        <v>201</v>
      </c>
      <c r="Q156">
        <v>44</v>
      </c>
      <c r="R156">
        <v>3</v>
      </c>
      <c r="S156">
        <v>1692000</v>
      </c>
      <c r="T156" s="10">
        <v>45054</v>
      </c>
      <c r="U156" s="10"/>
    </row>
    <row r="157" spans="1:21" x14ac:dyDescent="0.35">
      <c r="A157">
        <v>1156</v>
      </c>
      <c r="B157" t="s">
        <v>146</v>
      </c>
      <c r="C157" t="s">
        <v>136</v>
      </c>
      <c r="D157" t="s">
        <v>42</v>
      </c>
      <c r="E157" t="s">
        <v>47</v>
      </c>
      <c r="F157" t="s">
        <v>101</v>
      </c>
      <c r="G157" t="s">
        <v>62</v>
      </c>
      <c r="H157">
        <v>133000</v>
      </c>
      <c r="I157" t="str">
        <f>_xlfn.XLOOKUP(F157,'Grade Bands'!$A$2:$A$31,'Grade Bands'!$B$2:$B$31,"Not Found")</f>
        <v>Officer</v>
      </c>
      <c r="J157">
        <f>_xlfn.XLOOKUP(F157,'Grade Bands'!$A$2:$A$31,'Grade Bands'!$C$2:$C$31,"Not Found")</f>
        <v>110000</v>
      </c>
      <c r="K157">
        <f>_xlfn.XLOOKUP(F157,'Grade Bands'!$A$2:$A$31,'Grade Bands'!$D$2:$D$31,"Not Found")</f>
        <v>230000</v>
      </c>
      <c r="L157" t="str">
        <f t="shared" si="4"/>
        <v>Within Band</v>
      </c>
      <c r="M157">
        <v>3</v>
      </c>
      <c r="N157" s="10">
        <v>36467</v>
      </c>
      <c r="O157" t="s">
        <v>348</v>
      </c>
      <c r="P157" t="s">
        <v>206</v>
      </c>
      <c r="Q157">
        <v>26</v>
      </c>
      <c r="R157">
        <v>7</v>
      </c>
      <c r="S157">
        <v>1596000</v>
      </c>
      <c r="T157" s="10">
        <v>43098</v>
      </c>
      <c r="U157" s="10">
        <v>46011</v>
      </c>
    </row>
    <row r="158" spans="1:21" x14ac:dyDescent="0.35">
      <c r="A158">
        <v>1157</v>
      </c>
      <c r="B158" t="s">
        <v>114</v>
      </c>
      <c r="C158" t="s">
        <v>59</v>
      </c>
      <c r="D158" t="s">
        <v>36</v>
      </c>
      <c r="E158" t="s">
        <v>65</v>
      </c>
      <c r="F158" t="s">
        <v>66</v>
      </c>
      <c r="G158" t="s">
        <v>39</v>
      </c>
      <c r="H158">
        <v>187000</v>
      </c>
      <c r="I158" t="str">
        <f>_xlfn.XLOOKUP(F158,'Grade Bands'!$A$2:$A$31,'Grade Bands'!$B$2:$B$31,"Not Found")</f>
        <v>Officer</v>
      </c>
      <c r="J158">
        <f>_xlfn.XLOOKUP(F158,'Grade Bands'!$A$2:$A$31,'Grade Bands'!$C$2:$C$31,"Not Found")</f>
        <v>110000</v>
      </c>
      <c r="K158">
        <f>_xlfn.XLOOKUP(F158,'Grade Bands'!$A$2:$A$31,'Grade Bands'!$D$2:$D$31,"Not Found")</f>
        <v>230000</v>
      </c>
      <c r="L158" t="str">
        <f t="shared" si="4"/>
        <v>Within Band</v>
      </c>
      <c r="M158">
        <v>5</v>
      </c>
      <c r="N158" s="10">
        <v>28469</v>
      </c>
      <c r="O158" t="s">
        <v>349</v>
      </c>
      <c r="P158" t="s">
        <v>201</v>
      </c>
      <c r="Q158">
        <v>48</v>
      </c>
      <c r="R158">
        <v>7</v>
      </c>
      <c r="S158">
        <v>2244000</v>
      </c>
      <c r="T158" s="10">
        <v>43356</v>
      </c>
      <c r="U158" s="10"/>
    </row>
    <row r="159" spans="1:21" x14ac:dyDescent="0.35">
      <c r="A159">
        <v>1158</v>
      </c>
      <c r="B159" t="s">
        <v>154</v>
      </c>
      <c r="C159" t="s">
        <v>171</v>
      </c>
      <c r="D159" t="s">
        <v>42</v>
      </c>
      <c r="E159" t="s">
        <v>88</v>
      </c>
      <c r="F159" t="s">
        <v>89</v>
      </c>
      <c r="G159" t="s">
        <v>33</v>
      </c>
      <c r="H159">
        <v>228000</v>
      </c>
      <c r="I159" t="str">
        <f>_xlfn.XLOOKUP(F159,'Grade Bands'!$A$2:$A$31,'Grade Bands'!$B$2:$B$31,"Not Found")</f>
        <v>Officer</v>
      </c>
      <c r="J159">
        <f>_xlfn.XLOOKUP(F159,'Grade Bands'!$A$2:$A$31,'Grade Bands'!$C$2:$C$31,"Not Found")</f>
        <v>110000</v>
      </c>
      <c r="K159">
        <f>_xlfn.XLOOKUP(F159,'Grade Bands'!$A$2:$A$31,'Grade Bands'!$D$2:$D$31,"Not Found")</f>
        <v>230000</v>
      </c>
      <c r="L159" t="str">
        <f t="shared" si="4"/>
        <v>Within Band</v>
      </c>
      <c r="M159">
        <v>3</v>
      </c>
      <c r="N159" s="10">
        <v>30118</v>
      </c>
      <c r="O159" t="s">
        <v>350</v>
      </c>
      <c r="P159" t="s">
        <v>201</v>
      </c>
      <c r="Q159">
        <v>44</v>
      </c>
      <c r="R159">
        <v>3</v>
      </c>
      <c r="S159">
        <v>2736000</v>
      </c>
      <c r="T159" s="10">
        <v>44919</v>
      </c>
      <c r="U159" s="10"/>
    </row>
    <row r="160" spans="1:21" x14ac:dyDescent="0.35">
      <c r="A160">
        <v>1159</v>
      </c>
      <c r="B160" t="s">
        <v>40</v>
      </c>
      <c r="C160" t="s">
        <v>82</v>
      </c>
      <c r="D160" t="s">
        <v>42</v>
      </c>
      <c r="E160" t="s">
        <v>51</v>
      </c>
      <c r="F160" t="s">
        <v>52</v>
      </c>
      <c r="G160" t="s">
        <v>39</v>
      </c>
      <c r="H160">
        <v>157000</v>
      </c>
      <c r="I160" t="str">
        <f>_xlfn.XLOOKUP(F160,'Grade Bands'!$A$2:$A$31,'Grade Bands'!$B$2:$B$31,"Not Found")</f>
        <v>Officer</v>
      </c>
      <c r="J160">
        <f>_xlfn.XLOOKUP(F160,'Grade Bands'!$A$2:$A$31,'Grade Bands'!$C$2:$C$31,"Not Found")</f>
        <v>110000</v>
      </c>
      <c r="K160">
        <f>_xlfn.XLOOKUP(F160,'Grade Bands'!$A$2:$A$31,'Grade Bands'!$D$2:$D$31,"Not Found")</f>
        <v>230000</v>
      </c>
      <c r="L160" t="str">
        <f t="shared" si="4"/>
        <v>Within Band</v>
      </c>
      <c r="M160">
        <v>5</v>
      </c>
      <c r="N160" s="10">
        <v>29874</v>
      </c>
      <c r="O160" t="s">
        <v>351</v>
      </c>
      <c r="P160" t="s">
        <v>201</v>
      </c>
      <c r="Q160">
        <v>44</v>
      </c>
      <c r="R160">
        <v>7</v>
      </c>
      <c r="S160">
        <v>1884000</v>
      </c>
      <c r="T160" s="10">
        <v>43507</v>
      </c>
      <c r="U160" s="10"/>
    </row>
    <row r="161" spans="1:21" x14ac:dyDescent="0.35">
      <c r="A161">
        <v>1160</v>
      </c>
      <c r="B161" t="s">
        <v>165</v>
      </c>
      <c r="C161" t="s">
        <v>41</v>
      </c>
      <c r="D161" t="s">
        <v>36</v>
      </c>
      <c r="E161" t="s">
        <v>37</v>
      </c>
      <c r="F161" t="s">
        <v>43</v>
      </c>
      <c r="G161" t="s">
        <v>39</v>
      </c>
      <c r="H161">
        <v>165000</v>
      </c>
      <c r="I161" t="str">
        <f>_xlfn.XLOOKUP(F161,'Grade Bands'!$A$2:$A$31,'Grade Bands'!$B$2:$B$31,"Not Found")</f>
        <v>Senior</v>
      </c>
      <c r="J161">
        <f>_xlfn.XLOOKUP(F161,'Grade Bands'!$A$2:$A$31,'Grade Bands'!$C$2:$C$31,"Not Found")</f>
        <v>220000</v>
      </c>
      <c r="K161">
        <f>_xlfn.XLOOKUP(F161,'Grade Bands'!$A$2:$A$31,'Grade Bands'!$D$2:$D$31,"Not Found")</f>
        <v>360000</v>
      </c>
      <c r="L161" t="str">
        <f t="shared" si="4"/>
        <v>Outside Band</v>
      </c>
      <c r="M161">
        <v>4</v>
      </c>
      <c r="N161" s="10">
        <v>28880</v>
      </c>
      <c r="O161" t="s">
        <v>352</v>
      </c>
      <c r="P161" t="s">
        <v>201</v>
      </c>
      <c r="Q161">
        <v>47</v>
      </c>
      <c r="R161">
        <v>10</v>
      </c>
      <c r="S161">
        <v>1980000</v>
      </c>
      <c r="T161" s="10">
        <v>42390</v>
      </c>
      <c r="U161" s="10"/>
    </row>
    <row r="162" spans="1:21" x14ac:dyDescent="0.35">
      <c r="A162">
        <v>1161</v>
      </c>
      <c r="B162" t="s">
        <v>128</v>
      </c>
      <c r="C162" t="s">
        <v>104</v>
      </c>
      <c r="D162" t="s">
        <v>42</v>
      </c>
      <c r="E162" t="s">
        <v>79</v>
      </c>
      <c r="F162" t="s">
        <v>133</v>
      </c>
      <c r="G162" t="s">
        <v>62</v>
      </c>
      <c r="H162">
        <v>396000</v>
      </c>
      <c r="I162" t="str">
        <f>_xlfn.XLOOKUP(F162,'Grade Bands'!$A$2:$A$31,'Grade Bands'!$B$2:$B$31,"Not Found")</f>
        <v>Lead/Manager</v>
      </c>
      <c r="J162">
        <f>_xlfn.XLOOKUP(F162,'Grade Bands'!$A$2:$A$31,'Grade Bands'!$C$2:$C$31,"Not Found")</f>
        <v>360000</v>
      </c>
      <c r="K162">
        <f>_xlfn.XLOOKUP(F162,'Grade Bands'!$A$2:$A$31,'Grade Bands'!$D$2:$D$31,"Not Found")</f>
        <v>650000</v>
      </c>
      <c r="L162" t="str">
        <f t="shared" ref="L162:L193" si="5">IF(AND(H162&gt;=J162,H162&lt;=K162),"Within Band","Outside Band")</f>
        <v>Within Band</v>
      </c>
      <c r="M162">
        <v>3</v>
      </c>
      <c r="N162" s="10">
        <v>31200</v>
      </c>
      <c r="O162" t="s">
        <v>353</v>
      </c>
      <c r="P162" t="s">
        <v>201</v>
      </c>
      <c r="Q162">
        <v>41</v>
      </c>
      <c r="R162">
        <v>2</v>
      </c>
      <c r="S162">
        <v>4752000</v>
      </c>
      <c r="T162" s="10">
        <v>45494</v>
      </c>
      <c r="U162" s="10"/>
    </row>
    <row r="163" spans="1:21" x14ac:dyDescent="0.35">
      <c r="A163">
        <v>1162</v>
      </c>
      <c r="B163" t="s">
        <v>40</v>
      </c>
      <c r="C163" t="s">
        <v>108</v>
      </c>
      <c r="D163" t="s">
        <v>42</v>
      </c>
      <c r="E163" t="s">
        <v>88</v>
      </c>
      <c r="F163" t="s">
        <v>89</v>
      </c>
      <c r="G163" t="s">
        <v>62</v>
      </c>
      <c r="H163">
        <v>159000</v>
      </c>
      <c r="I163" t="str">
        <f>_xlfn.XLOOKUP(F163,'Grade Bands'!$A$2:$A$31,'Grade Bands'!$B$2:$B$31,"Not Found")</f>
        <v>Officer</v>
      </c>
      <c r="J163">
        <f>_xlfn.XLOOKUP(F163,'Grade Bands'!$A$2:$A$31,'Grade Bands'!$C$2:$C$31,"Not Found")</f>
        <v>110000</v>
      </c>
      <c r="K163">
        <f>_xlfn.XLOOKUP(F163,'Grade Bands'!$A$2:$A$31,'Grade Bands'!$D$2:$D$31,"Not Found")</f>
        <v>230000</v>
      </c>
      <c r="L163" t="str">
        <f t="shared" si="5"/>
        <v>Within Band</v>
      </c>
      <c r="M163">
        <v>4</v>
      </c>
      <c r="N163" s="10">
        <v>36473</v>
      </c>
      <c r="O163" t="s">
        <v>354</v>
      </c>
      <c r="P163" t="s">
        <v>201</v>
      </c>
      <c r="Q163">
        <v>26</v>
      </c>
      <c r="R163">
        <v>9</v>
      </c>
      <c r="S163">
        <v>1908000</v>
      </c>
      <c r="T163" s="10">
        <v>42774</v>
      </c>
      <c r="U163" s="10"/>
    </row>
    <row r="164" spans="1:21" x14ac:dyDescent="0.35">
      <c r="A164">
        <v>1163</v>
      </c>
      <c r="B164" t="s">
        <v>34</v>
      </c>
      <c r="C164" t="s">
        <v>46</v>
      </c>
      <c r="D164" t="s">
        <v>36</v>
      </c>
      <c r="E164" t="s">
        <v>79</v>
      </c>
      <c r="F164" t="s">
        <v>106</v>
      </c>
      <c r="G164" t="s">
        <v>62</v>
      </c>
      <c r="H164">
        <v>276000</v>
      </c>
      <c r="I164" t="str">
        <f>_xlfn.XLOOKUP(F164,'Grade Bands'!$A$2:$A$31,'Grade Bands'!$B$2:$B$31,"Not Found")</f>
        <v>Senior</v>
      </c>
      <c r="J164">
        <f>_xlfn.XLOOKUP(F164,'Grade Bands'!$A$2:$A$31,'Grade Bands'!$C$2:$C$31,"Not Found")</f>
        <v>220000</v>
      </c>
      <c r="K164">
        <f>_xlfn.XLOOKUP(F164,'Grade Bands'!$A$2:$A$31,'Grade Bands'!$D$2:$D$31,"Not Found")</f>
        <v>360000</v>
      </c>
      <c r="L164" t="str">
        <f t="shared" si="5"/>
        <v>Within Band</v>
      </c>
      <c r="M164">
        <v>5</v>
      </c>
      <c r="N164" s="10">
        <v>28747</v>
      </c>
      <c r="O164" t="s">
        <v>355</v>
      </c>
      <c r="P164" t="s">
        <v>206</v>
      </c>
      <c r="Q164">
        <v>47</v>
      </c>
      <c r="R164">
        <v>1</v>
      </c>
      <c r="S164">
        <v>3312000</v>
      </c>
      <c r="T164" s="10">
        <v>45467</v>
      </c>
      <c r="U164" s="10">
        <v>46013</v>
      </c>
    </row>
    <row r="165" spans="1:21" x14ac:dyDescent="0.35">
      <c r="A165">
        <v>1164</v>
      </c>
      <c r="B165" t="s">
        <v>83</v>
      </c>
      <c r="C165" t="s">
        <v>87</v>
      </c>
      <c r="D165" t="s">
        <v>36</v>
      </c>
      <c r="E165" t="s">
        <v>79</v>
      </c>
      <c r="F165" t="s">
        <v>32</v>
      </c>
      <c r="G165" t="s">
        <v>44</v>
      </c>
      <c r="H165">
        <v>140000</v>
      </c>
      <c r="I165" t="str">
        <f>_xlfn.XLOOKUP(F165,'Grade Bands'!$A$2:$A$31,'Grade Bands'!$B$2:$B$31,"Not Found")</f>
        <v>Officer</v>
      </c>
      <c r="J165">
        <f>_xlfn.XLOOKUP(F165,'Grade Bands'!$A$2:$A$31,'Grade Bands'!$C$2:$C$31,"Not Found")</f>
        <v>110000</v>
      </c>
      <c r="K165">
        <f>_xlfn.XLOOKUP(F165,'Grade Bands'!$A$2:$A$31,'Grade Bands'!$D$2:$D$31,"Not Found")</f>
        <v>230000</v>
      </c>
      <c r="L165" t="str">
        <f t="shared" si="5"/>
        <v>Within Band</v>
      </c>
      <c r="M165">
        <v>3</v>
      </c>
      <c r="N165" s="10">
        <v>30827</v>
      </c>
      <c r="O165" t="s">
        <v>231</v>
      </c>
      <c r="P165" t="s">
        <v>201</v>
      </c>
      <c r="Q165">
        <v>42</v>
      </c>
      <c r="R165">
        <v>7</v>
      </c>
      <c r="S165">
        <v>1680000</v>
      </c>
      <c r="T165" s="10">
        <v>43527</v>
      </c>
      <c r="U165" s="10"/>
    </row>
    <row r="166" spans="1:21" x14ac:dyDescent="0.35">
      <c r="A166">
        <v>1165</v>
      </c>
      <c r="B166" t="s">
        <v>109</v>
      </c>
      <c r="C166" t="s">
        <v>59</v>
      </c>
      <c r="D166" t="s">
        <v>42</v>
      </c>
      <c r="E166" t="s">
        <v>51</v>
      </c>
      <c r="F166" t="s">
        <v>52</v>
      </c>
      <c r="G166" t="s">
        <v>62</v>
      </c>
      <c r="H166">
        <v>184000</v>
      </c>
      <c r="I166" t="str">
        <f>_xlfn.XLOOKUP(F166,'Grade Bands'!$A$2:$A$31,'Grade Bands'!$B$2:$B$31,"Not Found")</f>
        <v>Officer</v>
      </c>
      <c r="J166">
        <f>_xlfn.XLOOKUP(F166,'Grade Bands'!$A$2:$A$31,'Grade Bands'!$C$2:$C$31,"Not Found")</f>
        <v>110000</v>
      </c>
      <c r="K166">
        <f>_xlfn.XLOOKUP(F166,'Grade Bands'!$A$2:$A$31,'Grade Bands'!$D$2:$D$31,"Not Found")</f>
        <v>230000</v>
      </c>
      <c r="L166" t="str">
        <f t="shared" si="5"/>
        <v>Within Band</v>
      </c>
      <c r="M166">
        <v>5</v>
      </c>
      <c r="N166" s="10">
        <v>37231</v>
      </c>
      <c r="O166" t="s">
        <v>356</v>
      </c>
      <c r="P166" t="s">
        <v>201</v>
      </c>
      <c r="Q166">
        <v>24</v>
      </c>
      <c r="R166">
        <v>2</v>
      </c>
      <c r="S166">
        <v>2208000</v>
      </c>
      <c r="T166" s="10">
        <v>45378</v>
      </c>
      <c r="U166" s="10"/>
    </row>
    <row r="167" spans="1:21" x14ac:dyDescent="0.35">
      <c r="A167">
        <v>1166</v>
      </c>
      <c r="B167" t="s">
        <v>55</v>
      </c>
      <c r="C167" t="s">
        <v>77</v>
      </c>
      <c r="D167" t="s">
        <v>42</v>
      </c>
      <c r="E167" t="s">
        <v>56</v>
      </c>
      <c r="F167" t="s">
        <v>57</v>
      </c>
      <c r="G167" t="s">
        <v>33</v>
      </c>
      <c r="H167">
        <v>175000</v>
      </c>
      <c r="I167" t="str">
        <f>_xlfn.XLOOKUP(F167,'Grade Bands'!$A$2:$A$31,'Grade Bands'!$B$2:$B$31,"Not Found")</f>
        <v>Senior</v>
      </c>
      <c r="J167">
        <f>_xlfn.XLOOKUP(F167,'Grade Bands'!$A$2:$A$31,'Grade Bands'!$C$2:$C$31,"Not Found")</f>
        <v>220000</v>
      </c>
      <c r="K167">
        <f>_xlfn.XLOOKUP(F167,'Grade Bands'!$A$2:$A$31,'Grade Bands'!$D$2:$D$31,"Not Found")</f>
        <v>360000</v>
      </c>
      <c r="L167" t="str">
        <f t="shared" si="5"/>
        <v>Outside Band</v>
      </c>
      <c r="M167">
        <v>4</v>
      </c>
      <c r="N167" s="10">
        <v>28985</v>
      </c>
      <c r="O167" t="s">
        <v>357</v>
      </c>
      <c r="P167" t="s">
        <v>201</v>
      </c>
      <c r="Q167">
        <v>47</v>
      </c>
      <c r="R167">
        <v>2</v>
      </c>
      <c r="S167">
        <v>2100000</v>
      </c>
      <c r="T167" s="10">
        <v>45425</v>
      </c>
      <c r="U167" s="10"/>
    </row>
    <row r="168" spans="1:21" x14ac:dyDescent="0.35">
      <c r="A168">
        <v>1167</v>
      </c>
      <c r="B168" t="s">
        <v>154</v>
      </c>
      <c r="C168" t="s">
        <v>172</v>
      </c>
      <c r="D168" t="s">
        <v>42</v>
      </c>
      <c r="E168" t="s">
        <v>37</v>
      </c>
      <c r="F168" t="s">
        <v>43</v>
      </c>
      <c r="G168" t="s">
        <v>33</v>
      </c>
      <c r="H168">
        <v>150000</v>
      </c>
      <c r="I168" t="str">
        <f>_xlfn.XLOOKUP(F168,'Grade Bands'!$A$2:$A$31,'Grade Bands'!$B$2:$B$31,"Not Found")</f>
        <v>Senior</v>
      </c>
      <c r="J168">
        <f>_xlfn.XLOOKUP(F168,'Grade Bands'!$A$2:$A$31,'Grade Bands'!$C$2:$C$31,"Not Found")</f>
        <v>220000</v>
      </c>
      <c r="K168">
        <f>_xlfn.XLOOKUP(F168,'Grade Bands'!$A$2:$A$31,'Grade Bands'!$D$2:$D$31,"Not Found")</f>
        <v>360000</v>
      </c>
      <c r="L168" t="str">
        <f t="shared" si="5"/>
        <v>Outside Band</v>
      </c>
      <c r="M168">
        <v>2</v>
      </c>
      <c r="N168" s="10">
        <v>33007</v>
      </c>
      <c r="O168" t="s">
        <v>358</v>
      </c>
      <c r="P168" t="s">
        <v>201</v>
      </c>
      <c r="Q168">
        <v>36</v>
      </c>
      <c r="R168">
        <v>7</v>
      </c>
      <c r="S168">
        <v>1800000</v>
      </c>
      <c r="T168" s="10">
        <v>43343</v>
      </c>
      <c r="U168" s="10"/>
    </row>
    <row r="169" spans="1:21" x14ac:dyDescent="0.35">
      <c r="A169">
        <v>1168</v>
      </c>
      <c r="B169" t="s">
        <v>97</v>
      </c>
      <c r="C169" t="s">
        <v>50</v>
      </c>
      <c r="D169" t="s">
        <v>36</v>
      </c>
      <c r="E169" t="s">
        <v>47</v>
      </c>
      <c r="F169" t="s">
        <v>101</v>
      </c>
      <c r="G169" t="s">
        <v>39</v>
      </c>
      <c r="H169">
        <v>167000</v>
      </c>
      <c r="I169" t="str">
        <f>_xlfn.XLOOKUP(F169,'Grade Bands'!$A$2:$A$31,'Grade Bands'!$B$2:$B$31,"Not Found")</f>
        <v>Officer</v>
      </c>
      <c r="J169">
        <f>_xlfn.XLOOKUP(F169,'Grade Bands'!$A$2:$A$31,'Grade Bands'!$C$2:$C$31,"Not Found")</f>
        <v>110000</v>
      </c>
      <c r="K169">
        <f>_xlfn.XLOOKUP(F169,'Grade Bands'!$A$2:$A$31,'Grade Bands'!$D$2:$D$31,"Not Found")</f>
        <v>230000</v>
      </c>
      <c r="L169" t="str">
        <f t="shared" si="5"/>
        <v>Within Band</v>
      </c>
      <c r="M169">
        <v>4</v>
      </c>
      <c r="N169" s="10">
        <v>31853</v>
      </c>
      <c r="O169" t="s">
        <v>359</v>
      </c>
      <c r="P169" t="s">
        <v>201</v>
      </c>
      <c r="Q169">
        <v>39</v>
      </c>
      <c r="R169">
        <v>5</v>
      </c>
      <c r="S169">
        <v>2004000</v>
      </c>
      <c r="T169" s="10">
        <v>44152</v>
      </c>
      <c r="U169" s="10"/>
    </row>
    <row r="170" spans="1:21" x14ac:dyDescent="0.35">
      <c r="A170">
        <v>1169</v>
      </c>
      <c r="B170" t="s">
        <v>110</v>
      </c>
      <c r="C170" t="s">
        <v>98</v>
      </c>
      <c r="D170" t="s">
        <v>42</v>
      </c>
      <c r="E170" t="s">
        <v>51</v>
      </c>
      <c r="F170" t="s">
        <v>61</v>
      </c>
      <c r="G170" t="s">
        <v>33</v>
      </c>
      <c r="H170">
        <v>330000</v>
      </c>
      <c r="I170" t="str">
        <f>_xlfn.XLOOKUP(F170,'Grade Bands'!$A$2:$A$31,'Grade Bands'!$B$2:$B$31,"Not Found")</f>
        <v>Lead/Manager</v>
      </c>
      <c r="J170">
        <f>_xlfn.XLOOKUP(F170,'Grade Bands'!$A$2:$A$31,'Grade Bands'!$C$2:$C$31,"Not Found")</f>
        <v>360000</v>
      </c>
      <c r="K170">
        <f>_xlfn.XLOOKUP(F170,'Grade Bands'!$A$2:$A$31,'Grade Bands'!$D$2:$D$31,"Not Found")</f>
        <v>650000</v>
      </c>
      <c r="L170" t="str">
        <f t="shared" si="5"/>
        <v>Outside Band</v>
      </c>
      <c r="M170">
        <v>3</v>
      </c>
      <c r="N170" s="10">
        <v>28308</v>
      </c>
      <c r="O170" t="s">
        <v>360</v>
      </c>
      <c r="P170" t="s">
        <v>206</v>
      </c>
      <c r="Q170">
        <v>49</v>
      </c>
      <c r="R170">
        <v>4</v>
      </c>
      <c r="S170">
        <v>3960000</v>
      </c>
      <c r="T170" s="10">
        <v>43247</v>
      </c>
      <c r="U170" s="10">
        <v>45024</v>
      </c>
    </row>
    <row r="171" spans="1:21" x14ac:dyDescent="0.35">
      <c r="A171">
        <v>1170</v>
      </c>
      <c r="B171" t="s">
        <v>40</v>
      </c>
      <c r="C171" t="s">
        <v>29</v>
      </c>
      <c r="D171" t="s">
        <v>42</v>
      </c>
      <c r="E171" t="s">
        <v>56</v>
      </c>
      <c r="F171" t="s">
        <v>120</v>
      </c>
      <c r="G171" t="s">
        <v>39</v>
      </c>
      <c r="H171">
        <v>143000</v>
      </c>
      <c r="I171" t="str">
        <f>_xlfn.XLOOKUP(F171,'Grade Bands'!$A$2:$A$31,'Grade Bands'!$B$2:$B$31,"Not Found")</f>
        <v>Officer</v>
      </c>
      <c r="J171">
        <f>_xlfn.XLOOKUP(F171,'Grade Bands'!$A$2:$A$31,'Grade Bands'!$C$2:$C$31,"Not Found")</f>
        <v>110000</v>
      </c>
      <c r="K171">
        <f>_xlfn.XLOOKUP(F171,'Grade Bands'!$A$2:$A$31,'Grade Bands'!$D$2:$D$31,"Not Found")</f>
        <v>230000</v>
      </c>
      <c r="L171" t="str">
        <f t="shared" si="5"/>
        <v>Within Band</v>
      </c>
      <c r="M171">
        <v>2</v>
      </c>
      <c r="N171" s="10">
        <v>33592</v>
      </c>
      <c r="O171" t="s">
        <v>361</v>
      </c>
      <c r="P171" t="s">
        <v>206</v>
      </c>
      <c r="Q171">
        <v>34</v>
      </c>
      <c r="R171">
        <v>1</v>
      </c>
      <c r="S171">
        <v>1716000</v>
      </c>
      <c r="T171" s="10">
        <v>45279</v>
      </c>
      <c r="U171" s="10">
        <v>45705</v>
      </c>
    </row>
    <row r="172" spans="1:21" x14ac:dyDescent="0.35">
      <c r="A172">
        <v>1171</v>
      </c>
      <c r="B172" t="s">
        <v>115</v>
      </c>
      <c r="C172" t="s">
        <v>122</v>
      </c>
      <c r="D172" t="s">
        <v>42</v>
      </c>
      <c r="E172" t="s">
        <v>65</v>
      </c>
      <c r="F172" t="s">
        <v>84</v>
      </c>
      <c r="G172" t="s">
        <v>44</v>
      </c>
      <c r="H172">
        <v>136000</v>
      </c>
      <c r="I172" t="str">
        <f>_xlfn.XLOOKUP(F172,'Grade Bands'!$A$2:$A$31,'Grade Bands'!$B$2:$B$31,"Not Found")</f>
        <v>Officer</v>
      </c>
      <c r="J172">
        <f>_xlfn.XLOOKUP(F172,'Grade Bands'!$A$2:$A$31,'Grade Bands'!$C$2:$C$31,"Not Found")</f>
        <v>110000</v>
      </c>
      <c r="K172">
        <f>_xlfn.XLOOKUP(F172,'Grade Bands'!$A$2:$A$31,'Grade Bands'!$D$2:$D$31,"Not Found")</f>
        <v>230000</v>
      </c>
      <c r="L172" t="str">
        <f t="shared" si="5"/>
        <v>Within Band</v>
      </c>
      <c r="M172">
        <v>4</v>
      </c>
      <c r="N172" s="10">
        <v>31249</v>
      </c>
      <c r="O172" t="s">
        <v>310</v>
      </c>
      <c r="P172" t="s">
        <v>201</v>
      </c>
      <c r="Q172">
        <v>41</v>
      </c>
      <c r="R172">
        <v>6</v>
      </c>
      <c r="S172">
        <v>1632000</v>
      </c>
      <c r="T172" s="10">
        <v>43765</v>
      </c>
      <c r="U172" s="10"/>
    </row>
    <row r="173" spans="1:21" x14ac:dyDescent="0.35">
      <c r="A173">
        <v>1172</v>
      </c>
      <c r="B173" t="s">
        <v>95</v>
      </c>
      <c r="C173" t="s">
        <v>174</v>
      </c>
      <c r="D173" t="s">
        <v>42</v>
      </c>
      <c r="E173" t="s">
        <v>37</v>
      </c>
      <c r="F173" t="s">
        <v>38</v>
      </c>
      <c r="G173" t="s">
        <v>62</v>
      </c>
      <c r="H173">
        <v>179000</v>
      </c>
      <c r="I173" t="str">
        <f>_xlfn.XLOOKUP(F173,'Grade Bands'!$A$2:$A$31,'Grade Bands'!$B$2:$B$31,"Not Found")</f>
        <v>Officer</v>
      </c>
      <c r="J173">
        <f>_xlfn.XLOOKUP(F173,'Grade Bands'!$A$2:$A$31,'Grade Bands'!$C$2:$C$31,"Not Found")</f>
        <v>110000</v>
      </c>
      <c r="K173">
        <f>_xlfn.XLOOKUP(F173,'Grade Bands'!$A$2:$A$31,'Grade Bands'!$D$2:$D$31,"Not Found")</f>
        <v>230000</v>
      </c>
      <c r="L173" t="str">
        <f t="shared" si="5"/>
        <v>Within Band</v>
      </c>
      <c r="M173">
        <v>4</v>
      </c>
      <c r="N173" s="10">
        <v>28761</v>
      </c>
      <c r="O173" t="s">
        <v>362</v>
      </c>
      <c r="P173" t="s">
        <v>206</v>
      </c>
      <c r="Q173">
        <v>47</v>
      </c>
      <c r="R173">
        <v>1</v>
      </c>
      <c r="S173">
        <v>2148000</v>
      </c>
      <c r="T173" s="10">
        <v>45403</v>
      </c>
      <c r="U173" s="10">
        <v>45922</v>
      </c>
    </row>
    <row r="174" spans="1:21" x14ac:dyDescent="0.35">
      <c r="A174">
        <v>1173</v>
      </c>
      <c r="B174" t="s">
        <v>147</v>
      </c>
      <c r="C174" t="s">
        <v>50</v>
      </c>
      <c r="D174" t="s">
        <v>42</v>
      </c>
      <c r="E174" t="s">
        <v>56</v>
      </c>
      <c r="F174" t="s">
        <v>57</v>
      </c>
      <c r="G174" t="s">
        <v>33</v>
      </c>
      <c r="H174">
        <v>215000</v>
      </c>
      <c r="I174" t="str">
        <f>_xlfn.XLOOKUP(F174,'Grade Bands'!$A$2:$A$31,'Grade Bands'!$B$2:$B$31,"Not Found")</f>
        <v>Senior</v>
      </c>
      <c r="J174">
        <f>_xlfn.XLOOKUP(F174,'Grade Bands'!$A$2:$A$31,'Grade Bands'!$C$2:$C$31,"Not Found")</f>
        <v>220000</v>
      </c>
      <c r="K174">
        <f>_xlfn.XLOOKUP(F174,'Grade Bands'!$A$2:$A$31,'Grade Bands'!$D$2:$D$31,"Not Found")</f>
        <v>360000</v>
      </c>
      <c r="L174" t="str">
        <f t="shared" si="5"/>
        <v>Outside Band</v>
      </c>
      <c r="M174">
        <v>3</v>
      </c>
      <c r="N174" s="10">
        <v>29880</v>
      </c>
      <c r="O174" t="s">
        <v>363</v>
      </c>
      <c r="P174" t="s">
        <v>201</v>
      </c>
      <c r="Q174">
        <v>44</v>
      </c>
      <c r="R174">
        <v>3</v>
      </c>
      <c r="S174">
        <v>2580000</v>
      </c>
      <c r="T174" s="10">
        <v>44867</v>
      </c>
      <c r="U174" s="10"/>
    </row>
    <row r="175" spans="1:21" x14ac:dyDescent="0.35">
      <c r="A175">
        <v>1174</v>
      </c>
      <c r="B175" t="s">
        <v>146</v>
      </c>
      <c r="C175" t="s">
        <v>63</v>
      </c>
      <c r="D175" t="s">
        <v>42</v>
      </c>
      <c r="E175" t="s">
        <v>88</v>
      </c>
      <c r="F175" t="s">
        <v>89</v>
      </c>
      <c r="G175" t="s">
        <v>62</v>
      </c>
      <c r="H175">
        <v>146000</v>
      </c>
      <c r="I175" t="str">
        <f>_xlfn.XLOOKUP(F175,'Grade Bands'!$A$2:$A$31,'Grade Bands'!$B$2:$B$31,"Not Found")</f>
        <v>Officer</v>
      </c>
      <c r="J175">
        <f>_xlfn.XLOOKUP(F175,'Grade Bands'!$A$2:$A$31,'Grade Bands'!$C$2:$C$31,"Not Found")</f>
        <v>110000</v>
      </c>
      <c r="K175">
        <f>_xlfn.XLOOKUP(F175,'Grade Bands'!$A$2:$A$31,'Grade Bands'!$D$2:$D$31,"Not Found")</f>
        <v>230000</v>
      </c>
      <c r="L175" t="str">
        <f t="shared" si="5"/>
        <v>Within Band</v>
      </c>
      <c r="M175">
        <v>4</v>
      </c>
      <c r="N175" s="10">
        <v>32745</v>
      </c>
      <c r="O175" t="s">
        <v>364</v>
      </c>
      <c r="P175" t="s">
        <v>201</v>
      </c>
      <c r="Q175">
        <v>36</v>
      </c>
      <c r="R175">
        <v>8</v>
      </c>
      <c r="S175">
        <v>1752000</v>
      </c>
      <c r="T175" s="10">
        <v>43203</v>
      </c>
      <c r="U175" s="10"/>
    </row>
    <row r="176" spans="1:21" x14ac:dyDescent="0.35">
      <c r="A176">
        <v>1175</v>
      </c>
      <c r="B176" t="s">
        <v>147</v>
      </c>
      <c r="C176" t="s">
        <v>160</v>
      </c>
      <c r="D176" t="s">
        <v>42</v>
      </c>
      <c r="E176" t="s">
        <v>56</v>
      </c>
      <c r="F176" t="s">
        <v>57</v>
      </c>
      <c r="G176" t="s">
        <v>39</v>
      </c>
      <c r="H176">
        <v>191000</v>
      </c>
      <c r="I176" t="str">
        <f>_xlfn.XLOOKUP(F176,'Grade Bands'!$A$2:$A$31,'Grade Bands'!$B$2:$B$31,"Not Found")</f>
        <v>Senior</v>
      </c>
      <c r="J176">
        <f>_xlfn.XLOOKUP(F176,'Grade Bands'!$A$2:$A$31,'Grade Bands'!$C$2:$C$31,"Not Found")</f>
        <v>220000</v>
      </c>
      <c r="K176">
        <f>_xlfn.XLOOKUP(F176,'Grade Bands'!$A$2:$A$31,'Grade Bands'!$D$2:$D$31,"Not Found")</f>
        <v>360000</v>
      </c>
      <c r="L176" t="str">
        <f t="shared" si="5"/>
        <v>Outside Band</v>
      </c>
      <c r="M176">
        <v>2</v>
      </c>
      <c r="N176" s="10">
        <v>35718</v>
      </c>
      <c r="O176" t="s">
        <v>365</v>
      </c>
      <c r="P176" t="s">
        <v>206</v>
      </c>
      <c r="Q176">
        <v>28</v>
      </c>
      <c r="R176">
        <v>5</v>
      </c>
      <c r="S176">
        <v>2292000</v>
      </c>
      <c r="T176" s="10">
        <v>42523</v>
      </c>
      <c r="U176" s="10">
        <v>44357</v>
      </c>
    </row>
    <row r="177" spans="1:21" x14ac:dyDescent="0.35">
      <c r="A177">
        <v>1176</v>
      </c>
      <c r="B177" t="s">
        <v>64</v>
      </c>
      <c r="C177" t="s">
        <v>29</v>
      </c>
      <c r="D177" t="s">
        <v>42</v>
      </c>
      <c r="E177" t="s">
        <v>65</v>
      </c>
      <c r="F177" t="s">
        <v>66</v>
      </c>
      <c r="G177" t="s">
        <v>33</v>
      </c>
      <c r="H177">
        <v>206000</v>
      </c>
      <c r="I177" t="str">
        <f>_xlfn.XLOOKUP(F177,'Grade Bands'!$A$2:$A$31,'Grade Bands'!$B$2:$B$31,"Not Found")</f>
        <v>Officer</v>
      </c>
      <c r="J177">
        <f>_xlfn.XLOOKUP(F177,'Grade Bands'!$A$2:$A$31,'Grade Bands'!$C$2:$C$31,"Not Found")</f>
        <v>110000</v>
      </c>
      <c r="K177">
        <f>_xlfn.XLOOKUP(F177,'Grade Bands'!$A$2:$A$31,'Grade Bands'!$D$2:$D$31,"Not Found")</f>
        <v>230000</v>
      </c>
      <c r="L177" t="str">
        <f t="shared" si="5"/>
        <v>Within Band</v>
      </c>
      <c r="M177">
        <v>3</v>
      </c>
      <c r="N177" s="10">
        <v>28035</v>
      </c>
      <c r="O177" t="s">
        <v>366</v>
      </c>
      <c r="P177" t="s">
        <v>201</v>
      </c>
      <c r="Q177">
        <v>49</v>
      </c>
      <c r="R177">
        <v>7</v>
      </c>
      <c r="S177">
        <v>2472000</v>
      </c>
      <c r="T177" s="10">
        <v>43569</v>
      </c>
      <c r="U177" s="10"/>
    </row>
    <row r="178" spans="1:21" x14ac:dyDescent="0.35">
      <c r="A178">
        <v>1177</v>
      </c>
      <c r="B178" t="s">
        <v>83</v>
      </c>
      <c r="C178" t="s">
        <v>122</v>
      </c>
      <c r="D178" t="s">
        <v>36</v>
      </c>
      <c r="E178" t="s">
        <v>56</v>
      </c>
      <c r="F178" t="s">
        <v>120</v>
      </c>
      <c r="G178" t="s">
        <v>33</v>
      </c>
      <c r="H178">
        <v>163000</v>
      </c>
      <c r="I178" t="str">
        <f>_xlfn.XLOOKUP(F178,'Grade Bands'!$A$2:$A$31,'Grade Bands'!$B$2:$B$31,"Not Found")</f>
        <v>Officer</v>
      </c>
      <c r="J178">
        <f>_xlfn.XLOOKUP(F178,'Grade Bands'!$A$2:$A$31,'Grade Bands'!$C$2:$C$31,"Not Found")</f>
        <v>110000</v>
      </c>
      <c r="K178">
        <f>_xlfn.XLOOKUP(F178,'Grade Bands'!$A$2:$A$31,'Grade Bands'!$D$2:$D$31,"Not Found")</f>
        <v>230000</v>
      </c>
      <c r="L178" t="str">
        <f t="shared" si="5"/>
        <v>Within Band</v>
      </c>
      <c r="M178">
        <v>4</v>
      </c>
      <c r="N178" s="10">
        <v>29514</v>
      </c>
      <c r="O178" t="s">
        <v>367</v>
      </c>
      <c r="P178" t="s">
        <v>201</v>
      </c>
      <c r="Q178">
        <v>45</v>
      </c>
      <c r="R178">
        <v>5</v>
      </c>
      <c r="S178">
        <v>1956000</v>
      </c>
      <c r="T178" s="10">
        <v>44344</v>
      </c>
      <c r="U178" s="10"/>
    </row>
    <row r="179" spans="1:21" x14ac:dyDescent="0.35">
      <c r="A179">
        <v>1178</v>
      </c>
      <c r="B179" t="s">
        <v>175</v>
      </c>
      <c r="C179" t="s">
        <v>122</v>
      </c>
      <c r="D179" t="s">
        <v>42</v>
      </c>
      <c r="E179" t="s">
        <v>79</v>
      </c>
      <c r="F179" t="s">
        <v>133</v>
      </c>
      <c r="G179" t="s">
        <v>33</v>
      </c>
      <c r="H179">
        <v>556000</v>
      </c>
      <c r="I179" t="str">
        <f>_xlfn.XLOOKUP(F179,'Grade Bands'!$A$2:$A$31,'Grade Bands'!$B$2:$B$31,"Not Found")</f>
        <v>Lead/Manager</v>
      </c>
      <c r="J179">
        <f>_xlfn.XLOOKUP(F179,'Grade Bands'!$A$2:$A$31,'Grade Bands'!$C$2:$C$31,"Not Found")</f>
        <v>360000</v>
      </c>
      <c r="K179">
        <f>_xlfn.XLOOKUP(F179,'Grade Bands'!$A$2:$A$31,'Grade Bands'!$D$2:$D$31,"Not Found")</f>
        <v>650000</v>
      </c>
      <c r="L179" t="str">
        <f t="shared" si="5"/>
        <v>Within Band</v>
      </c>
      <c r="M179">
        <v>3</v>
      </c>
      <c r="N179" s="10">
        <v>33254</v>
      </c>
      <c r="O179" t="s">
        <v>368</v>
      </c>
      <c r="P179" t="s">
        <v>201</v>
      </c>
      <c r="Q179">
        <v>35</v>
      </c>
      <c r="R179">
        <v>8</v>
      </c>
      <c r="S179">
        <v>6672000</v>
      </c>
      <c r="T179" s="10">
        <v>43182</v>
      </c>
      <c r="U179" s="10"/>
    </row>
    <row r="180" spans="1:21" x14ac:dyDescent="0.35">
      <c r="A180">
        <v>1179</v>
      </c>
      <c r="B180" t="s">
        <v>176</v>
      </c>
      <c r="C180" t="s">
        <v>124</v>
      </c>
      <c r="D180" t="s">
        <v>36</v>
      </c>
      <c r="E180" t="s">
        <v>47</v>
      </c>
      <c r="F180" t="s">
        <v>101</v>
      </c>
      <c r="G180" t="s">
        <v>33</v>
      </c>
      <c r="H180">
        <v>114000</v>
      </c>
      <c r="I180" t="str">
        <f>_xlfn.XLOOKUP(F180,'Grade Bands'!$A$2:$A$31,'Grade Bands'!$B$2:$B$31,"Not Found")</f>
        <v>Officer</v>
      </c>
      <c r="J180">
        <f>_xlfn.XLOOKUP(F180,'Grade Bands'!$A$2:$A$31,'Grade Bands'!$C$2:$C$31,"Not Found")</f>
        <v>110000</v>
      </c>
      <c r="K180">
        <f>_xlfn.XLOOKUP(F180,'Grade Bands'!$A$2:$A$31,'Grade Bands'!$D$2:$D$31,"Not Found")</f>
        <v>230000</v>
      </c>
      <c r="L180" t="str">
        <f t="shared" si="5"/>
        <v>Within Band</v>
      </c>
      <c r="M180">
        <v>2</v>
      </c>
      <c r="N180" s="10">
        <v>30643</v>
      </c>
      <c r="O180" t="s">
        <v>369</v>
      </c>
      <c r="P180" t="s">
        <v>201</v>
      </c>
      <c r="Q180">
        <v>42</v>
      </c>
      <c r="R180">
        <v>1</v>
      </c>
      <c r="S180">
        <v>1368000</v>
      </c>
      <c r="T180" s="10">
        <v>45607</v>
      </c>
      <c r="U180" s="10"/>
    </row>
    <row r="181" spans="1:21" x14ac:dyDescent="0.35">
      <c r="A181">
        <v>1180</v>
      </c>
      <c r="B181" t="s">
        <v>116</v>
      </c>
      <c r="C181" t="s">
        <v>142</v>
      </c>
      <c r="D181" t="s">
        <v>36</v>
      </c>
      <c r="E181" t="s">
        <v>47</v>
      </c>
      <c r="F181" t="s">
        <v>101</v>
      </c>
      <c r="G181" t="s">
        <v>33</v>
      </c>
      <c r="H181">
        <v>114000</v>
      </c>
      <c r="I181" t="str">
        <f>_xlfn.XLOOKUP(F181,'Grade Bands'!$A$2:$A$31,'Grade Bands'!$B$2:$B$31,"Not Found")</f>
        <v>Officer</v>
      </c>
      <c r="J181">
        <f>_xlfn.XLOOKUP(F181,'Grade Bands'!$A$2:$A$31,'Grade Bands'!$C$2:$C$31,"Not Found")</f>
        <v>110000</v>
      </c>
      <c r="K181">
        <f>_xlfn.XLOOKUP(F181,'Grade Bands'!$A$2:$A$31,'Grade Bands'!$D$2:$D$31,"Not Found")</f>
        <v>230000</v>
      </c>
      <c r="L181" t="str">
        <f t="shared" si="5"/>
        <v>Within Band</v>
      </c>
      <c r="M181">
        <v>4</v>
      </c>
      <c r="N181" s="10">
        <v>34836</v>
      </c>
      <c r="O181" t="s">
        <v>370</v>
      </c>
      <c r="P181" t="s">
        <v>206</v>
      </c>
      <c r="Q181">
        <v>31</v>
      </c>
      <c r="R181">
        <v>2</v>
      </c>
      <c r="S181">
        <v>1368000</v>
      </c>
      <c r="T181" s="10">
        <v>42793</v>
      </c>
      <c r="U181" s="10">
        <v>43792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9729-A666-4566-9EAF-06B55368EF71}">
  <dimension ref="A1:C25"/>
  <sheetViews>
    <sheetView workbookViewId="0">
      <selection activeCell="G19" sqref="G19"/>
    </sheetView>
  </sheetViews>
  <sheetFormatPr defaultRowHeight="14.5" x14ac:dyDescent="0.35"/>
  <cols>
    <col min="1" max="1" width="63.7265625" customWidth="1"/>
    <col min="3" max="3" width="12.7265625" customWidth="1"/>
    <col min="4" max="4" width="17.6328125" customWidth="1"/>
  </cols>
  <sheetData>
    <row r="1" spans="1:3" x14ac:dyDescent="0.35">
      <c r="A1" t="s">
        <v>371</v>
      </c>
    </row>
    <row r="2" spans="1:3" x14ac:dyDescent="0.35">
      <c r="A2">
        <f>COUNTIF(Table1_1[[#All],[Employment Status]],"Active")</f>
        <v>138</v>
      </c>
    </row>
    <row r="4" spans="1:3" x14ac:dyDescent="0.35">
      <c r="A4" t="s">
        <v>372</v>
      </c>
    </row>
    <row r="5" spans="1:3" x14ac:dyDescent="0.35">
      <c r="A5" s="11">
        <f>COUNTIF(Table1_1[[#All],[Employment Status]],"Exited")/COUNTA(Table1_1[[#All],[EmployeeID]])</f>
        <v>0.23204419889502761</v>
      </c>
    </row>
    <row r="6" spans="1:3" x14ac:dyDescent="0.35">
      <c r="A6" s="11"/>
    </row>
    <row r="7" spans="1:3" x14ac:dyDescent="0.35">
      <c r="A7" t="s">
        <v>373</v>
      </c>
    </row>
    <row r="8" spans="1:3" x14ac:dyDescent="0.35">
      <c r="A8" s="12">
        <f>SUMIF(Table1_1[Employment Status],"Active",Table1_1[Monthly Salary (NGN)])</f>
        <v>28773000</v>
      </c>
    </row>
    <row r="9" spans="1:3" x14ac:dyDescent="0.35">
      <c r="A9" s="12"/>
    </row>
    <row r="10" spans="1:3" x14ac:dyDescent="0.35">
      <c r="A10" t="s">
        <v>374</v>
      </c>
    </row>
    <row r="11" spans="1:3" x14ac:dyDescent="0.35">
      <c r="A11" s="12">
        <f>AVERAGEIF(Table1_1[Employment Status],"Active",Table1_1[Monthly Salary (NGN)])</f>
        <v>208500</v>
      </c>
    </row>
    <row r="12" spans="1:3" x14ac:dyDescent="0.35">
      <c r="A12" s="12"/>
    </row>
    <row r="13" spans="1:3" x14ac:dyDescent="0.35">
      <c r="A13" t="s">
        <v>375</v>
      </c>
    </row>
    <row r="14" spans="1:3" x14ac:dyDescent="0.35">
      <c r="A14" s="14" t="s">
        <v>10</v>
      </c>
      <c r="B14" s="14" t="s">
        <v>42</v>
      </c>
      <c r="C14" s="14" t="s">
        <v>36</v>
      </c>
    </row>
    <row r="15" spans="1:3" x14ac:dyDescent="0.35">
      <c r="A15" s="13" t="s">
        <v>51</v>
      </c>
      <c r="B15" s="15">
        <f>COUNTIFS(Table1_1[Department],'Analysis Sheet'!A15,Table1_1[Gender],$B$14)</f>
        <v>14</v>
      </c>
      <c r="C15" s="15">
        <f>COUNTIFS(Table1_1[Department],'Analysis Sheet'!A15,Table1_1[Gender],$C$14)</f>
        <v>11</v>
      </c>
    </row>
    <row r="16" spans="1:3" x14ac:dyDescent="0.35">
      <c r="A16" s="13" t="s">
        <v>65</v>
      </c>
      <c r="B16" s="15">
        <f>COUNTIFS(Table1_1[Department],'Analysis Sheet'!A16,Table1_1[Gender],$B$14)</f>
        <v>15</v>
      </c>
      <c r="C16" s="15">
        <f>COUNTIFS(Table1_1[Department],'Analysis Sheet'!A16,Table1_1[Gender],$C$14)</f>
        <v>5</v>
      </c>
    </row>
    <row r="17" spans="1:3" x14ac:dyDescent="0.35">
      <c r="A17" s="13" t="s">
        <v>47</v>
      </c>
      <c r="B17" s="15">
        <f>COUNTIFS(Table1_1[Department],'Analysis Sheet'!A17,Table1_1[Gender],$B$14)</f>
        <v>10</v>
      </c>
      <c r="C17" s="15">
        <f>COUNTIFS(Table1_1[Department],'Analysis Sheet'!A17,Table1_1[Gender],$C$14)</f>
        <v>10</v>
      </c>
    </row>
    <row r="18" spans="1:3" x14ac:dyDescent="0.35">
      <c r="A18" s="13" t="s">
        <v>79</v>
      </c>
      <c r="B18" s="15">
        <f>COUNTIFS(Table1_1[Department],'Analysis Sheet'!A18,Table1_1[Gender],$B$14)</f>
        <v>10</v>
      </c>
      <c r="C18" s="15">
        <f>COUNTIFS(Table1_1[Department],'Analysis Sheet'!A18,Table1_1[Gender],$C$14)</f>
        <v>14</v>
      </c>
    </row>
    <row r="19" spans="1:3" x14ac:dyDescent="0.35">
      <c r="A19" s="13" t="s">
        <v>68</v>
      </c>
      <c r="B19" s="15">
        <f>COUNTIFS(Table1_1[Department],'Analysis Sheet'!A19,Table1_1[Gender],$B$14)</f>
        <v>7</v>
      </c>
      <c r="C19" s="15">
        <f>COUNTIFS(Table1_1[Department],'Analysis Sheet'!A19,Table1_1[Gender],$C$14)</f>
        <v>7</v>
      </c>
    </row>
    <row r="20" spans="1:3" x14ac:dyDescent="0.35">
      <c r="A20" s="13" t="s">
        <v>56</v>
      </c>
      <c r="B20" s="15">
        <f>COUNTIFS(Table1_1[Department],'Analysis Sheet'!A20,Table1_1[Gender],$B$14)</f>
        <v>15</v>
      </c>
      <c r="C20" s="15">
        <f>COUNTIFS(Table1_1[Department],'Analysis Sheet'!A20,Table1_1[Gender],$C$14)</f>
        <v>11</v>
      </c>
    </row>
    <row r="21" spans="1:3" x14ac:dyDescent="0.35">
      <c r="A21" s="13" t="s">
        <v>37</v>
      </c>
      <c r="B21" s="15">
        <f>COUNTIFS(Table1_1[Department],'Analysis Sheet'!A21,Table1_1[Gender],$B$14)</f>
        <v>11</v>
      </c>
      <c r="C21" s="15">
        <f>COUNTIFS(Table1_1[Department],'Analysis Sheet'!A21,Table1_1[Gender],$C$14)</f>
        <v>8</v>
      </c>
    </row>
    <row r="22" spans="1:3" x14ac:dyDescent="0.35">
      <c r="A22" s="13" t="s">
        <v>88</v>
      </c>
      <c r="B22" s="15">
        <f>COUNTIFS(Table1_1[Department],'Analysis Sheet'!A22,Table1_1[Gender],$B$14)</f>
        <v>23</v>
      </c>
      <c r="C22" s="15">
        <f>COUNTIFS(Table1_1[Department],'Analysis Sheet'!A22,Table1_1[Gender],$C$14)</f>
        <v>9</v>
      </c>
    </row>
    <row r="23" spans="1:3" x14ac:dyDescent="0.35">
      <c r="A23" s="13"/>
      <c r="B23" s="15"/>
      <c r="C23" s="15"/>
    </row>
    <row r="24" spans="1:3" x14ac:dyDescent="0.35">
      <c r="A24" s="16"/>
      <c r="B24" s="15"/>
      <c r="C24" s="15"/>
    </row>
    <row r="25" spans="1:3" x14ac:dyDescent="0.35">
      <c r="A25" s="16"/>
      <c r="B25" s="15"/>
      <c r="C2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2" customWidth="1"/>
    <col min="2" max="2" width="16" customWidth="1"/>
    <col min="3" max="3" width="17.7265625" customWidth="1"/>
    <col min="4" max="4" width="18.26953125" customWidth="1"/>
  </cols>
  <sheetData>
    <row r="1" spans="1:4" ht="22" customHeight="1" x14ac:dyDescent="0.35">
      <c r="A1" s="9" t="s">
        <v>12</v>
      </c>
      <c r="B1" s="9" t="s">
        <v>177</v>
      </c>
      <c r="C1" s="9" t="s">
        <v>178</v>
      </c>
      <c r="D1" s="9" t="s">
        <v>179</v>
      </c>
    </row>
    <row r="2" spans="1:4" x14ac:dyDescent="0.35">
      <c r="A2" s="6" t="s">
        <v>84</v>
      </c>
      <c r="B2" s="6" t="s">
        <v>180</v>
      </c>
      <c r="C2" s="8">
        <v>110000</v>
      </c>
      <c r="D2" s="8">
        <v>230000</v>
      </c>
    </row>
    <row r="3" spans="1:4" x14ac:dyDescent="0.35">
      <c r="A3" s="6" t="s">
        <v>66</v>
      </c>
      <c r="B3" s="6" t="s">
        <v>180</v>
      </c>
      <c r="C3" s="8">
        <v>110000</v>
      </c>
      <c r="D3" s="8">
        <v>230000</v>
      </c>
    </row>
    <row r="4" spans="1:4" x14ac:dyDescent="0.35">
      <c r="A4" s="6" t="s">
        <v>143</v>
      </c>
      <c r="B4" s="6" t="s">
        <v>180</v>
      </c>
      <c r="C4" s="8">
        <v>110000</v>
      </c>
      <c r="D4" s="8">
        <v>230000</v>
      </c>
    </row>
    <row r="5" spans="1:4" x14ac:dyDescent="0.35">
      <c r="A5" s="6" t="s">
        <v>153</v>
      </c>
      <c r="B5" s="6" t="s">
        <v>181</v>
      </c>
      <c r="C5" s="8">
        <v>360000</v>
      </c>
      <c r="D5" s="8">
        <v>650000</v>
      </c>
    </row>
    <row r="6" spans="1:4" x14ac:dyDescent="0.35">
      <c r="A6" s="6" t="s">
        <v>57</v>
      </c>
      <c r="B6" s="6" t="s">
        <v>182</v>
      </c>
      <c r="C6" s="8">
        <v>220000</v>
      </c>
      <c r="D6" s="8">
        <v>360000</v>
      </c>
    </row>
    <row r="7" spans="1:4" x14ac:dyDescent="0.35">
      <c r="A7" s="6" t="s">
        <v>69</v>
      </c>
      <c r="B7" s="6" t="s">
        <v>180</v>
      </c>
      <c r="C7" s="8">
        <v>110000</v>
      </c>
      <c r="D7" s="8">
        <v>230000</v>
      </c>
    </row>
    <row r="8" spans="1:4" x14ac:dyDescent="0.35">
      <c r="A8" s="6" t="s">
        <v>159</v>
      </c>
      <c r="B8" s="6" t="s">
        <v>182</v>
      </c>
      <c r="C8" s="8">
        <v>220000</v>
      </c>
      <c r="D8" s="8">
        <v>360000</v>
      </c>
    </row>
    <row r="9" spans="1:4" x14ac:dyDescent="0.35">
      <c r="A9" s="6" t="s">
        <v>112</v>
      </c>
      <c r="B9" s="6" t="s">
        <v>181</v>
      </c>
      <c r="C9" s="8">
        <v>360000</v>
      </c>
      <c r="D9" s="8">
        <v>650000</v>
      </c>
    </row>
    <row r="10" spans="1:4" x14ac:dyDescent="0.35">
      <c r="A10" s="6" t="s">
        <v>85</v>
      </c>
      <c r="B10" s="6" t="s">
        <v>180</v>
      </c>
      <c r="C10" s="8">
        <v>110000</v>
      </c>
      <c r="D10" s="8">
        <v>230000</v>
      </c>
    </row>
    <row r="11" spans="1:4" x14ac:dyDescent="0.35">
      <c r="A11" s="6" t="s">
        <v>126</v>
      </c>
      <c r="B11" s="6" t="s">
        <v>181</v>
      </c>
      <c r="C11" s="8">
        <v>360000</v>
      </c>
      <c r="D11" s="8">
        <v>650000</v>
      </c>
    </row>
    <row r="12" spans="1:4" x14ac:dyDescent="0.35">
      <c r="A12" s="6" t="s">
        <v>72</v>
      </c>
      <c r="B12" s="6" t="s">
        <v>181</v>
      </c>
      <c r="C12" s="8">
        <v>360000</v>
      </c>
      <c r="D12" s="8">
        <v>650000</v>
      </c>
    </row>
    <row r="13" spans="1:4" x14ac:dyDescent="0.35">
      <c r="A13" s="6" t="s">
        <v>101</v>
      </c>
      <c r="B13" s="6" t="s">
        <v>180</v>
      </c>
      <c r="C13" s="8">
        <v>110000</v>
      </c>
      <c r="D13" s="8">
        <v>230000</v>
      </c>
    </row>
    <row r="14" spans="1:4" x14ac:dyDescent="0.35">
      <c r="A14" s="6" t="s">
        <v>133</v>
      </c>
      <c r="B14" s="6" t="s">
        <v>181</v>
      </c>
      <c r="C14" s="8">
        <v>360000</v>
      </c>
      <c r="D14" s="8">
        <v>650000</v>
      </c>
    </row>
    <row r="15" spans="1:4" x14ac:dyDescent="0.35">
      <c r="A15" s="6" t="s">
        <v>32</v>
      </c>
      <c r="B15" s="6" t="s">
        <v>180</v>
      </c>
      <c r="C15" s="8">
        <v>110000</v>
      </c>
      <c r="D15" s="8">
        <v>230000</v>
      </c>
    </row>
    <row r="16" spans="1:4" x14ac:dyDescent="0.35">
      <c r="A16" s="6" t="s">
        <v>105</v>
      </c>
      <c r="B16" s="6" t="s">
        <v>182</v>
      </c>
      <c r="C16" s="8">
        <v>220000</v>
      </c>
      <c r="D16" s="8">
        <v>360000</v>
      </c>
    </row>
    <row r="17" spans="1:4" x14ac:dyDescent="0.35">
      <c r="A17" s="6" t="s">
        <v>130</v>
      </c>
      <c r="B17" s="6" t="s">
        <v>181</v>
      </c>
      <c r="C17" s="8">
        <v>360000</v>
      </c>
      <c r="D17" s="8">
        <v>650000</v>
      </c>
    </row>
    <row r="18" spans="1:4" x14ac:dyDescent="0.35">
      <c r="A18" s="6" t="s">
        <v>145</v>
      </c>
      <c r="B18" s="6" t="s">
        <v>181</v>
      </c>
      <c r="C18" s="8">
        <v>360000</v>
      </c>
      <c r="D18" s="8">
        <v>650000</v>
      </c>
    </row>
    <row r="19" spans="1:4" x14ac:dyDescent="0.35">
      <c r="A19" s="6" t="s">
        <v>120</v>
      </c>
      <c r="B19" s="6" t="s">
        <v>180</v>
      </c>
      <c r="C19" s="8">
        <v>110000</v>
      </c>
      <c r="D19" s="8">
        <v>230000</v>
      </c>
    </row>
    <row r="20" spans="1:4" x14ac:dyDescent="0.35">
      <c r="A20" s="6" t="s">
        <v>43</v>
      </c>
      <c r="B20" s="6" t="s">
        <v>182</v>
      </c>
      <c r="C20" s="8">
        <v>220000</v>
      </c>
      <c r="D20" s="8">
        <v>360000</v>
      </c>
    </row>
    <row r="21" spans="1:4" x14ac:dyDescent="0.35">
      <c r="A21" s="6" t="s">
        <v>169</v>
      </c>
      <c r="B21" s="6" t="s">
        <v>181</v>
      </c>
      <c r="C21" s="8">
        <v>360000</v>
      </c>
      <c r="D21" s="8">
        <v>650000</v>
      </c>
    </row>
    <row r="22" spans="1:4" x14ac:dyDescent="0.35">
      <c r="A22" s="6" t="s">
        <v>183</v>
      </c>
      <c r="B22" s="6" t="s">
        <v>181</v>
      </c>
      <c r="C22" s="8">
        <v>360000</v>
      </c>
      <c r="D22" s="8">
        <v>650000</v>
      </c>
    </row>
    <row r="23" spans="1:4" x14ac:dyDescent="0.35">
      <c r="A23" s="6" t="s">
        <v>38</v>
      </c>
      <c r="B23" s="6" t="s">
        <v>180</v>
      </c>
      <c r="C23" s="8">
        <v>110000</v>
      </c>
      <c r="D23" s="8">
        <v>230000</v>
      </c>
    </row>
    <row r="24" spans="1:4" x14ac:dyDescent="0.35">
      <c r="A24" s="6" t="s">
        <v>48</v>
      </c>
      <c r="B24" s="6" t="s">
        <v>180</v>
      </c>
      <c r="C24" s="8">
        <v>110000</v>
      </c>
      <c r="D24" s="8">
        <v>230000</v>
      </c>
    </row>
    <row r="25" spans="1:4" x14ac:dyDescent="0.35">
      <c r="A25" s="6" t="s">
        <v>89</v>
      </c>
      <c r="B25" s="6" t="s">
        <v>180</v>
      </c>
      <c r="C25" s="8">
        <v>110000</v>
      </c>
      <c r="D25" s="8">
        <v>230000</v>
      </c>
    </row>
    <row r="26" spans="1:4" x14ac:dyDescent="0.35">
      <c r="A26" s="6" t="s">
        <v>96</v>
      </c>
      <c r="B26" s="6" t="s">
        <v>181</v>
      </c>
      <c r="C26" s="8">
        <v>360000</v>
      </c>
      <c r="D26" s="8">
        <v>650000</v>
      </c>
    </row>
    <row r="27" spans="1:4" x14ac:dyDescent="0.35">
      <c r="A27" s="6" t="s">
        <v>150</v>
      </c>
      <c r="B27" s="6" t="s">
        <v>182</v>
      </c>
      <c r="C27" s="8">
        <v>220000</v>
      </c>
      <c r="D27" s="8">
        <v>360000</v>
      </c>
    </row>
    <row r="28" spans="1:4" x14ac:dyDescent="0.35">
      <c r="A28" s="6" t="s">
        <v>80</v>
      </c>
      <c r="B28" s="6" t="s">
        <v>182</v>
      </c>
      <c r="C28" s="8">
        <v>220000</v>
      </c>
      <c r="D28" s="8">
        <v>360000</v>
      </c>
    </row>
    <row r="29" spans="1:4" x14ac:dyDescent="0.35">
      <c r="A29" s="6" t="s">
        <v>52</v>
      </c>
      <c r="B29" s="6" t="s">
        <v>180</v>
      </c>
      <c r="C29" s="8">
        <v>110000</v>
      </c>
      <c r="D29" s="8">
        <v>230000</v>
      </c>
    </row>
    <row r="30" spans="1:4" x14ac:dyDescent="0.35">
      <c r="A30" s="6" t="s">
        <v>106</v>
      </c>
      <c r="B30" s="6" t="s">
        <v>182</v>
      </c>
      <c r="C30" s="8">
        <v>220000</v>
      </c>
      <c r="D30" s="8">
        <v>360000</v>
      </c>
    </row>
    <row r="31" spans="1:4" x14ac:dyDescent="0.35">
      <c r="A31" s="6" t="s">
        <v>61</v>
      </c>
      <c r="B31" s="6" t="s">
        <v>181</v>
      </c>
      <c r="C31" s="8">
        <v>360000</v>
      </c>
      <c r="D31" s="8">
        <v>650000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2" customWidth="1"/>
    <col min="3" max="3" width="14" customWidth="1"/>
    <col min="4" max="4" width="20" customWidth="1"/>
  </cols>
  <sheetData>
    <row r="1" spans="1:4" ht="22" customHeight="1" x14ac:dyDescent="0.35">
      <c r="A1" s="5" t="s">
        <v>10</v>
      </c>
      <c r="B1" s="5" t="s">
        <v>184</v>
      </c>
      <c r="C1" s="5" t="s">
        <v>185</v>
      </c>
      <c r="D1" s="5" t="s">
        <v>186</v>
      </c>
    </row>
    <row r="2" spans="1:4" x14ac:dyDescent="0.35">
      <c r="A2" s="6" t="s">
        <v>88</v>
      </c>
      <c r="B2" s="6" t="s">
        <v>187</v>
      </c>
      <c r="C2" s="6" t="s">
        <v>33</v>
      </c>
      <c r="D2" s="8">
        <v>50000000</v>
      </c>
    </row>
    <row r="3" spans="1:4" x14ac:dyDescent="0.35">
      <c r="A3" s="6" t="s">
        <v>65</v>
      </c>
      <c r="B3" s="6" t="s">
        <v>188</v>
      </c>
      <c r="C3" s="6" t="s">
        <v>113</v>
      </c>
      <c r="D3" s="8">
        <v>45000000</v>
      </c>
    </row>
    <row r="4" spans="1:4" x14ac:dyDescent="0.35">
      <c r="A4" s="6" t="s">
        <v>37</v>
      </c>
      <c r="B4" s="6" t="s">
        <v>189</v>
      </c>
      <c r="C4" s="6" t="s">
        <v>113</v>
      </c>
      <c r="D4" s="8">
        <v>132000000</v>
      </c>
    </row>
    <row r="5" spans="1:4" x14ac:dyDescent="0.35">
      <c r="A5" s="6" t="s">
        <v>47</v>
      </c>
      <c r="B5" s="6" t="s">
        <v>190</v>
      </c>
      <c r="C5" s="6" t="s">
        <v>113</v>
      </c>
      <c r="D5" s="8">
        <v>126000000</v>
      </c>
    </row>
    <row r="6" spans="1:4" x14ac:dyDescent="0.35">
      <c r="A6" s="6" t="s">
        <v>79</v>
      </c>
      <c r="B6" s="6" t="s">
        <v>191</v>
      </c>
      <c r="C6" s="6" t="s">
        <v>33</v>
      </c>
      <c r="D6" s="8">
        <v>53000000</v>
      </c>
    </row>
    <row r="7" spans="1:4" x14ac:dyDescent="0.35">
      <c r="A7" s="6" t="s">
        <v>56</v>
      </c>
      <c r="B7" s="6" t="s">
        <v>192</v>
      </c>
      <c r="C7" s="6" t="s">
        <v>33</v>
      </c>
      <c r="D7" s="8">
        <v>38000000</v>
      </c>
    </row>
    <row r="8" spans="1:4" x14ac:dyDescent="0.35">
      <c r="A8" s="6" t="s">
        <v>68</v>
      </c>
      <c r="B8" s="6" t="s">
        <v>193</v>
      </c>
      <c r="C8" s="6" t="s">
        <v>113</v>
      </c>
      <c r="D8" s="8">
        <v>135000000</v>
      </c>
    </row>
    <row r="9" spans="1:4" x14ac:dyDescent="0.35">
      <c r="A9" s="6" t="s">
        <v>51</v>
      </c>
      <c r="B9" s="6" t="s">
        <v>194</v>
      </c>
      <c r="C9" s="6" t="s">
        <v>33</v>
      </c>
      <c r="D9" s="8">
        <v>138000000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AE6DB-02E9-4A6E-9A6B-EEBE37CC0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Employee Data</vt:lpstr>
      <vt:lpstr>Cleaned Data</vt:lpstr>
      <vt:lpstr>Analysis Sheet</vt:lpstr>
      <vt:lpstr>Grade Bands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Esther Ayodele</cp:lastModifiedBy>
  <dcterms:created xsi:type="dcterms:W3CDTF">2026-07-31T15:40:28Z</dcterms:created>
  <dcterms:modified xsi:type="dcterms:W3CDTF">2026-08-10T13:36:17Z</dcterms:modified>
</cp:coreProperties>
</file>